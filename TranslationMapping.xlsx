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0050\Documents\projects\digidiggie\"/>
    </mc:Choice>
  </mc:AlternateContent>
  <xr:revisionPtr revIDLastSave="0" documentId="8_{45CF3B26-1CB2-4A60-9ED4-00869AC0AB41}" xr6:coauthVersionLast="47" xr6:coauthVersionMax="47" xr10:uidLastSave="{00000000-0000-0000-0000-000000000000}"/>
  <bookViews>
    <workbookView xWindow="1890" yWindow="113" windowWidth="24022" windowHeight="15922" activeTab="4" xr2:uid="{00000000-000D-0000-FFFF-FFFF00000000}"/>
  </bookViews>
  <sheets>
    <sheet name="TranslationMapping" sheetId="3" r:id="rId1"/>
    <sheet name="TableMapping" sheetId="6" r:id="rId2"/>
    <sheet name="Expressions" sheetId="9" r:id="rId3"/>
    <sheet name="Queries" sheetId="7" r:id="rId4"/>
    <sheet name="RowSource" sheetId="8" r:id="rId5"/>
    <sheet name="RowSourceCompute" sheetId="2" r:id="rId6"/>
    <sheet name="Gudrun" sheetId="5" r:id="rId7"/>
  </sheets>
  <definedNames>
    <definedName name="communities">TranslationMapping!$A$2:$F$4</definedName>
    <definedName name="entries">TranslationMapping!$A$5:$F$20</definedName>
    <definedName name="Externadata_1" localSheetId="6" hidden="1">Gudrun!$A$1:$G$54</definedName>
    <definedName name="judgements">TranslationMapping!$A$53:$F$54</definedName>
    <definedName name="land_use">TranslationMapping!$A$24:$F$25</definedName>
    <definedName name="legal_sources">TranslationMapping!$A$45:$F$46</definedName>
    <definedName name="parishes">TranslationMapping!$A$47:$F$48</definedName>
    <definedName name="persons">TranslationMapping!$A$26:$F$44</definedName>
    <definedName name="seasons">TranslationMapping!$A$51:$F$52</definedName>
    <definedName name="sources">TranslationMapping!$A$21:$F$23</definedName>
    <definedName name="table_mapping">TableMapping!$A$2:$B$12</definedName>
    <definedName name="table_mappings">TableMapping!$A$2:$B$11</definedName>
    <definedName name="TranslationMapping">#REF!</definedName>
    <definedName name="winners">TranslationMapping!$A$49:$F$50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2" l="1"/>
  <c r="B32" i="2"/>
  <c r="A33" i="2"/>
  <c r="B33" i="2"/>
  <c r="A34" i="2"/>
  <c r="B34" i="2"/>
  <c r="A35" i="2"/>
  <c r="B35" i="2"/>
  <c r="A36" i="2"/>
  <c r="B36" i="2"/>
  <c r="C36" i="2"/>
  <c r="A37" i="2"/>
  <c r="B37" i="2"/>
  <c r="C37" i="2"/>
  <c r="A38" i="2"/>
  <c r="B38" i="2"/>
  <c r="A39" i="2"/>
  <c r="B39" i="2"/>
  <c r="A40" i="2"/>
  <c r="B40" i="2"/>
  <c r="E40" i="2"/>
  <c r="A41" i="2"/>
  <c r="B41" i="2"/>
  <c r="C41" i="2"/>
  <c r="E41" i="2"/>
  <c r="B31" i="2"/>
  <c r="A31" i="2"/>
  <c r="C17" i="2"/>
  <c r="G18" i="2"/>
  <c r="G19" i="2"/>
  <c r="G20" i="2"/>
  <c r="G21" i="2"/>
  <c r="G22" i="2"/>
  <c r="G23" i="2"/>
  <c r="G24" i="2"/>
  <c r="G25" i="2"/>
  <c r="G26" i="2"/>
  <c r="G27" i="2"/>
  <c r="E18" i="2"/>
  <c r="E19" i="2"/>
  <c r="E20" i="2"/>
  <c r="E21" i="2"/>
  <c r="E22" i="2"/>
  <c r="E23" i="2"/>
  <c r="E24" i="2"/>
  <c r="E25" i="2"/>
  <c r="E26" i="2"/>
  <c r="E27" i="2"/>
  <c r="G17" i="2"/>
  <c r="E17" i="2"/>
  <c r="C18" i="2"/>
  <c r="C19" i="2"/>
  <c r="C20" i="2"/>
  <c r="C21" i="2"/>
  <c r="C22" i="2"/>
  <c r="C23" i="2"/>
  <c r="C24" i="2"/>
  <c r="C25" i="2"/>
  <c r="C26" i="2"/>
  <c r="C27" i="2"/>
  <c r="A27" i="2"/>
  <c r="A18" i="2"/>
  <c r="C32" i="2" s="1"/>
  <c r="A19" i="2"/>
  <c r="C33" i="2" s="1"/>
  <c r="A20" i="2"/>
  <c r="C34" i="2" s="1"/>
  <c r="A21" i="2"/>
  <c r="C35" i="2" s="1"/>
  <c r="A22" i="2"/>
  <c r="A23" i="2"/>
  <c r="A24" i="2"/>
  <c r="C38" i="2" s="1"/>
  <c r="A25" i="2"/>
  <c r="C39" i="2" s="1"/>
  <c r="A26" i="2"/>
  <c r="C40" i="2" s="1"/>
  <c r="A17" i="2"/>
  <c r="C31" i="2" s="1"/>
  <c r="D23" i="2"/>
  <c r="B25" i="2"/>
  <c r="B18" i="2"/>
  <c r="F21" i="2"/>
  <c r="B19" i="2"/>
  <c r="H24" i="2"/>
  <c r="H19" i="2"/>
  <c r="H25" i="2"/>
  <c r="D25" i="2"/>
  <c r="D22" i="2"/>
  <c r="D19" i="2"/>
  <c r="F27" i="2"/>
  <c r="F23" i="2"/>
  <c r="B17" i="2"/>
  <c r="D17" i="2"/>
  <c r="H26" i="2"/>
  <c r="H17" i="2"/>
  <c r="B20" i="2"/>
  <c r="F24" i="2"/>
  <c r="B27" i="2"/>
  <c r="H23" i="2"/>
  <c r="F22" i="2"/>
  <c r="B22" i="2"/>
  <c r="H20" i="2"/>
  <c r="H18" i="2"/>
  <c r="F17" i="2"/>
  <c r="F19" i="2"/>
  <c r="H21" i="2"/>
  <c r="B21" i="2"/>
  <c r="F20" i="2"/>
  <c r="B23" i="2"/>
  <c r="H22" i="2"/>
  <c r="D24" i="2"/>
  <c r="B26" i="2"/>
  <c r="F25" i="2"/>
  <c r="B24" i="2"/>
  <c r="H27" i="2"/>
  <c r="D26" i="2"/>
  <c r="D20" i="2"/>
  <c r="D27" i="2"/>
  <c r="F26" i="2"/>
  <c r="D18" i="2"/>
  <c r="F18" i="2"/>
  <c r="D21" i="2"/>
  <c r="D38" i="2" l="1"/>
  <c r="D37" i="2"/>
  <c r="D33" i="2"/>
  <c r="D39" i="2"/>
  <c r="D36" i="2"/>
  <c r="D35" i="2"/>
  <c r="D34" i="2"/>
  <c r="D32" i="2"/>
  <c r="D41" i="2"/>
  <c r="D40" i="2"/>
  <c r="D31" i="2"/>
  <c r="K17" i="2"/>
  <c r="J17" i="2"/>
  <c r="J25" i="2"/>
  <c r="J23" i="2"/>
  <c r="J22" i="2"/>
  <c r="J21" i="2"/>
  <c r="J19" i="2"/>
  <c r="J24" i="2"/>
  <c r="J20" i="2"/>
  <c r="J18" i="2"/>
  <c r="I17" i="2"/>
  <c r="E31" i="2" s="1"/>
  <c r="I19" i="2"/>
  <c r="E33" i="2" s="1"/>
  <c r="I18" i="2"/>
  <c r="E32" i="2" s="1"/>
  <c r="I23" i="2"/>
  <c r="E37" i="2" s="1"/>
  <c r="I25" i="2"/>
  <c r="E39" i="2" s="1"/>
  <c r="I24" i="2"/>
  <c r="E38" i="2" s="1"/>
  <c r="I22" i="2"/>
  <c r="E36" i="2" s="1"/>
  <c r="I21" i="2"/>
  <c r="E35" i="2" s="1"/>
  <c r="I20" i="2"/>
  <c r="E34" i="2" s="1"/>
  <c r="K25" i="2"/>
  <c r="K24" i="2"/>
  <c r="K23" i="2"/>
  <c r="K22" i="2"/>
  <c r="K21" i="2"/>
  <c r="K20" i="2"/>
  <c r="K19" i="2"/>
  <c r="K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Roger Mähler</author>
  </authors>
  <commentList>
    <comment ref="A6" authorId="0" shapeId="0" xr:uid="{B455FEC6-91BA-46F9-9B82-6C39BC7AD37A}">
      <text>
        <r>
          <rPr>
            <b/>
            <sz val="9"/>
            <color indexed="81"/>
            <rFont val="Tahoma"/>
            <family val="2"/>
          </rPr>
          <t>Gudrun:</t>
        </r>
        <r>
          <rPr>
            <sz val="9"/>
            <color indexed="81"/>
            <rFont val="Tahoma"/>
            <family val="2"/>
          </rPr>
          <t xml:space="preserve">
OK. This is the case right now, but I'm not sure if its the best solution. Might be better if the event/court case had its own row.</t>
        </r>
      </text>
    </comment>
    <comment ref="D14" authorId="0" shapeId="0" xr:uid="{6CC7ABDF-30B3-4867-A2D4-5ACD0DB0E44F}">
      <text>
        <r>
          <rPr>
            <b/>
            <sz val="9"/>
            <color indexed="81"/>
            <rFont val="Tahoma"/>
            <family val="2"/>
          </rPr>
          <t>Roger Mähler:</t>
        </r>
        <r>
          <rPr>
            <sz val="9"/>
            <color indexed="81"/>
            <rFont val="Tahoma"/>
            <family val="2"/>
          </rPr>
          <t xml:space="preserve">
Renamed for consistency</t>
        </r>
      </text>
    </comment>
    <comment ref="C32" authorId="0" shapeId="0" xr:uid="{9A7AADEC-E81F-461B-A9B1-1338A1BA26AB}">
      <text>
        <r>
          <rPr>
            <b/>
            <sz val="9"/>
            <color indexed="81"/>
            <rFont val="Tahoma"/>
            <family val="2"/>
          </rPr>
          <t>Gudrun</t>
        </r>
        <r>
          <rPr>
            <sz val="9"/>
            <color indexed="81"/>
            <rFont val="Tahoma"/>
            <family val="2"/>
          </rPr>
          <t xml:space="preserve">
Could link to a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Roger Mähler</author>
  </authors>
  <commentList>
    <comment ref="J17" authorId="0" shapeId="0" xr:uid="{1A076959-E3F6-4F58-A2C0-BFD8994F5929}">
      <text>
        <r>
          <rPr>
            <b/>
            <sz val="9"/>
            <color indexed="81"/>
            <rFont val="Tahoma"/>
            <family val="2"/>
          </rPr>
          <t>Roger Mähler:</t>
        </r>
        <r>
          <rPr>
            <sz val="9"/>
            <color indexed="81"/>
            <rFont val="Tahoma"/>
            <family val="2"/>
          </rPr>
          <t xml:space="preserve">
IdTable is always equal to SourceTable
</t>
        </r>
      </text>
    </comment>
    <comment ref="I27" authorId="0" shapeId="0" xr:uid="{C69BE1EF-425D-4379-AE0B-9A5CC08CDF0B}">
      <text>
        <r>
          <rPr>
            <b/>
            <sz val="9"/>
            <color indexed="81"/>
            <rFont val="Tahoma"/>
            <family val="2"/>
          </rPr>
          <t>Roger Mähler:</t>
        </r>
        <r>
          <rPr>
            <sz val="9"/>
            <color indexed="81"/>
            <rFont val="Tahoma"/>
            <family val="2"/>
          </rPr>
          <t xml:space="preserve">
Gich tidigare via "Bynamnsfråga", nu direkt till tabell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E9CAE5-D0F5-40F8-B63F-E29664F56B14}" keepAlive="1" name="Query - TranslationMapping" description="Connection to the 'TranslationMapping' query in the workbook." type="5" refreshedVersion="8" background="1" saveData="1">
    <dbPr connection="Provider=Microsoft.Mashup.OleDb.1;Data Source=$Workbook$;Location=TranslationMapping;Extended Properties=&quot;&quot;" command="SELECT * FROM [TranslationMapping]"/>
  </connection>
  <connection id="2" xr16:uid="{45BB2B33-9BEF-495D-BBD0-938F310F0FDD}" keepAlive="1" name="Query - TranslationMapping (2)" description="Connection to the 'TranslationMapping (2)' query in the workbook." type="5" refreshedVersion="8" background="1" saveData="1">
    <dbPr connection="Provider=Microsoft.Mashup.OleDb.1;Data Source=$Workbook$;Location=&quot;TranslationMapping (2)&quot;;Extended Properties=&quot;&quot;" command="SELECT * FROM [TranslationMapping (2)]"/>
  </connection>
</connections>
</file>

<file path=xl/sharedStrings.xml><?xml version="1.0" encoding="utf-8"?>
<sst xmlns="http://schemas.openxmlformats.org/spreadsheetml/2006/main" count="924" uniqueCount="259">
  <si>
    <t>ID</t>
  </si>
  <si>
    <t>TranslatedTable</t>
  </si>
  <si>
    <t>OriginalColumn</t>
  </si>
  <si>
    <t>TranslatedColumn</t>
  </si>
  <si>
    <t>Comment</t>
  </si>
  <si>
    <t>Byar</t>
  </si>
  <si>
    <t>villages</t>
  </si>
  <si>
    <t>village_id</t>
  </si>
  <si>
    <t>Primary key for the villages table.</t>
  </si>
  <si>
    <t>Bynamn</t>
  </si>
  <si>
    <t>village_name</t>
  </si>
  <si>
    <t>The name of the village.</t>
  </si>
  <si>
    <t>Socken</t>
  </si>
  <si>
    <t>parish_id</t>
  </si>
  <si>
    <t>Foreign key linking to the parish this village belongs to.</t>
  </si>
  <si>
    <t>Entries</t>
  </si>
  <si>
    <t>entries</t>
  </si>
  <si>
    <t>entry_id</t>
  </si>
  <si>
    <t>Primary key for the entries table.</t>
  </si>
  <si>
    <t>Aktör</t>
  </si>
  <si>
    <t>actor_id</t>
  </si>
  <si>
    <t>Actor/participant in the event. If multiple actors are involved, each actor gets their own row.</t>
  </si>
  <si>
    <t>By</t>
  </si>
  <si>
    <t>Foreign key linking to the village where the event took place.</t>
  </si>
  <si>
    <t>År</t>
  </si>
  <si>
    <t>year</t>
  </si>
  <si>
    <t>The year the event occurred, or if unknown, the year the matter was heard at court.</t>
  </si>
  <si>
    <t>Beskrivning</t>
  </si>
  <si>
    <t>description</t>
  </si>
  <si>
    <t>Description of the event in free text. Can be multiple rows per event.</t>
  </si>
  <si>
    <t>OK</t>
  </si>
  <si>
    <t>land_rights_status</t>
  </si>
  <si>
    <t>Indicates if the individual had land rights.</t>
  </si>
  <si>
    <t>Källa</t>
  </si>
  <si>
    <t>source_id</t>
  </si>
  <si>
    <t>Foreign key to the source document. Source is specified by abbreviation (e.g., DB=court record).</t>
  </si>
  <si>
    <t>Refnr</t>
  </si>
  <si>
    <t>reference_number</t>
  </si>
  <si>
    <t>Reference number within a specific source collection, e.g., K.B. Wiklund's transcripts.</t>
  </si>
  <si>
    <t>Årstid2</t>
  </si>
  <si>
    <t>season_id</t>
  </si>
  <si>
    <t>Foreign key to the season when the event occurred.</t>
  </si>
  <si>
    <t>Resurs</t>
  </si>
  <si>
    <t>resource_id</t>
  </si>
  <si>
    <t>Foreign key to the resource or land use type involved in the event.</t>
  </si>
  <si>
    <t>Ortnamn_orig</t>
  </si>
  <si>
    <t>original_placename</t>
  </si>
  <si>
    <t>The place's name as written in the original source document.</t>
  </si>
  <si>
    <t>Vinnare</t>
  </si>
  <si>
    <t>winner_id</t>
  </si>
  <si>
    <t>Foreign key to the winning party of the legal case.</t>
  </si>
  <si>
    <t>Rättskälla</t>
  </si>
  <si>
    <t>legal_source_id</t>
  </si>
  <si>
    <t>Foreign key to the legal source or precedent cited.</t>
  </si>
  <si>
    <t>Dom</t>
  </si>
  <si>
    <t>judgement_id</t>
  </si>
  <si>
    <t>Foreign key to the judgement or sanction given.</t>
  </si>
  <si>
    <t>Ortnamn</t>
  </si>
  <si>
    <t>placename_id</t>
  </si>
  <si>
    <t>Foreign key to a standardized placename, possibly from the Swedish Mapping Authority.</t>
  </si>
  <si>
    <t>Tolv/nämndeman</t>
  </si>
  <si>
    <t>lay_judge_involved</t>
  </si>
  <si>
    <t>Flag (0/1) indicating if the district court's board of lay judges (nämnd) played a role.</t>
  </si>
  <si>
    <t>Källor</t>
  </si>
  <si>
    <t>sources</t>
  </si>
  <si>
    <t>Primary key for the sources table.</t>
  </si>
  <si>
    <t>source_name</t>
  </si>
  <si>
    <t>The full name of the historical source document.</t>
  </si>
  <si>
    <t>Kortkälla</t>
  </si>
  <si>
    <t>source_abbreviation</t>
  </si>
  <si>
    <t>The abbreviation for the source, used for quick reference.</t>
  </si>
  <si>
    <t>Markanvändning</t>
  </si>
  <si>
    <t>land_use</t>
  </si>
  <si>
    <t>land_use_id</t>
  </si>
  <si>
    <t>Primary key for the land use types table.</t>
  </si>
  <si>
    <t>Typ</t>
  </si>
  <si>
    <t>type</t>
  </si>
  <si>
    <t>The type of land use or resource being discussed (e.g., 'Fishing rights').</t>
  </si>
  <si>
    <t>Personer</t>
  </si>
  <si>
    <t>persons</t>
  </si>
  <si>
    <t>person_id</t>
  </si>
  <si>
    <t>Primary key for the persons table.</t>
  </si>
  <si>
    <t>ID_INDIVIDU</t>
  </si>
  <si>
    <t>individual_id</t>
  </si>
  <si>
    <t>A unique identifier for the individual, possibly from an external genealogical system.</t>
  </si>
  <si>
    <t>ID_FATHER</t>
  </si>
  <si>
    <t>father_id</t>
  </si>
  <si>
    <t>Identifier for this person's father, likely linking to another individual_id.</t>
  </si>
  <si>
    <t>ID_MOTHER</t>
  </si>
  <si>
    <t>mother_id</t>
  </si>
  <si>
    <t>Identifier for this person's mother, likely linking to another individual_id.</t>
  </si>
  <si>
    <t>Given name</t>
  </si>
  <si>
    <t>given_name</t>
  </si>
  <si>
    <t>The person's given name(s) (first name).</t>
  </si>
  <si>
    <t>PATRONYME</t>
  </si>
  <si>
    <t>patronymic</t>
  </si>
  <si>
    <t>The person's patronymic name (e.g., 'Andersson').</t>
  </si>
  <si>
    <t>Tillnamn</t>
  </si>
  <si>
    <t>surname</t>
  </si>
  <si>
    <t>The person's surname, byname, or family name.</t>
  </si>
  <si>
    <t>Birth_Date</t>
  </si>
  <si>
    <t>birth_date</t>
  </si>
  <si>
    <t>The specific date of birth, if known.</t>
  </si>
  <si>
    <t>Född</t>
  </si>
  <si>
    <t>birth_year</t>
  </si>
  <si>
    <t>The year of birth.</t>
  </si>
  <si>
    <t>Birth_Place</t>
  </si>
  <si>
    <t>birth_place</t>
  </si>
  <si>
    <t>The location of birth.</t>
  </si>
  <si>
    <t>Residence_Date</t>
  </si>
  <si>
    <t>residence_date</t>
  </si>
  <si>
    <t>A specific year or date associated with the person's residence.</t>
  </si>
  <si>
    <t>Death_Date</t>
  </si>
  <si>
    <t>death_date</t>
  </si>
  <si>
    <t>The specific date of death, if known.</t>
  </si>
  <si>
    <t>Död</t>
  </si>
  <si>
    <t>death_year</t>
  </si>
  <si>
    <t>The year of death.</t>
  </si>
  <si>
    <t>Death_Place</t>
  </si>
  <si>
    <t>death_place</t>
  </si>
  <si>
    <t>The location of death.</t>
  </si>
  <si>
    <t>Event for_Date</t>
  </si>
  <si>
    <t>event_date</t>
  </si>
  <si>
    <t>Date associated with a specific life event for this person.</t>
  </si>
  <si>
    <t>Event</t>
  </si>
  <si>
    <t>event_id</t>
  </si>
  <si>
    <t>Identifier for a specific life event (e.g., marriage).</t>
  </si>
  <si>
    <t>The name of the village where the person primarily resided.</t>
  </si>
  <si>
    <t>Kommentar</t>
  </si>
  <si>
    <t>comment</t>
  </si>
  <si>
    <t>A free-text field for miscellaneous notes about the person.</t>
  </si>
  <si>
    <t>Helnamn</t>
  </si>
  <si>
    <t>full_name</t>
  </si>
  <si>
    <t>The person's full name, likely a computed or concatenated field.</t>
  </si>
  <si>
    <t>Rättskällor</t>
  </si>
  <si>
    <t>legal_sources</t>
  </si>
  <si>
    <t>Primary key for the legal sources table.</t>
  </si>
  <si>
    <t>legal_source_name</t>
  </si>
  <si>
    <t>The name of the legal source or legal precedent cited.</t>
  </si>
  <si>
    <t>parishes</t>
  </si>
  <si>
    <t>SOCKENSTAD</t>
  </si>
  <si>
    <t>parish_town</t>
  </si>
  <si>
    <t>The main town or administrative center of the parish.</t>
  </si>
  <si>
    <t>nr</t>
  </si>
  <si>
    <t>Primary key for the parishes table.</t>
  </si>
  <si>
    <t>winners</t>
  </si>
  <si>
    <t>Primary key for the winners table.</t>
  </si>
  <si>
    <t>winner_description</t>
  </si>
  <si>
    <t>Describes the winning party in a legal case (e.g., 'Plaintiff').</t>
  </si>
  <si>
    <t>Årstid</t>
  </si>
  <si>
    <t>seasons</t>
  </si>
  <si>
    <t>Primary key for the seasons table.</t>
  </si>
  <si>
    <t>season_name</t>
  </si>
  <si>
    <t>The name of the season (e.g., 'Winter', 'Summer court session').</t>
  </si>
  <si>
    <t>judgements</t>
  </si>
  <si>
    <t>Primary key for the judgements table.</t>
  </si>
  <si>
    <t>Påföljd</t>
  </si>
  <si>
    <t>sanction</t>
  </si>
  <si>
    <t>The type of judgement or sanction handed down (e.g., 'Fined').</t>
  </si>
  <si>
    <t>communities</t>
  </si>
  <si>
    <t>community_id</t>
  </si>
  <si>
    <t>community_name</t>
  </si>
  <si>
    <t>parish</t>
  </si>
  <si>
    <t>Primary key for the communities table.</t>
  </si>
  <si>
    <t>The name of the community.</t>
  </si>
  <si>
    <t>Foreign key linking to the parish this community belongs to.</t>
  </si>
  <si>
    <t>OriginalTable</t>
  </si>
  <si>
    <t>Gudrun</t>
  </si>
  <si>
    <t>Gudrun_col4</t>
  </si>
  <si>
    <t>Gudrun_col5</t>
  </si>
  <si>
    <t>OK. This is the case right now, but I'm not sure if its the best solution. Might be better if the event/court case had its own row.</t>
  </si>
  <si>
    <t>Foreign key linking to the community where the event took place.</t>
  </si>
  <si>
    <t>Description of the event in free text. Can be multiple rows per event since each actor involved  has its own row</t>
  </si>
  <si>
    <t>Foreign key to a standardized placename, from the Swedish National Survey (which enables GIS connection)</t>
  </si>
  <si>
    <t>OK but can be erased</t>
  </si>
  <si>
    <t>OK, could link to a table</t>
  </si>
  <si>
    <t>Heading comes from the National Survey database of place names and means "parish or town", but only parishes are relevant here</t>
  </si>
  <si>
    <t>Describes the winning party in a legal case (e.g., 'settler' or 'reindeer herder')</t>
  </si>
  <si>
    <t>The name of the season when the disputed resource was primarily used (e.g., 'Winter', 'Summer').</t>
  </si>
  <si>
    <t>DeprecateFlag</t>
  </si>
  <si>
    <t>YES</t>
  </si>
  <si>
    <t>IdTable</t>
  </si>
  <si>
    <t>Table</t>
  </si>
  <si>
    <t>Column</t>
  </si>
  <si>
    <t>IdColumn</t>
  </si>
  <si>
    <t>TextTable</t>
  </si>
  <si>
    <t>TextColumn</t>
  </si>
  <si>
    <t>SourceTable</t>
  </si>
  <si>
    <t>OrderByColumn</t>
  </si>
  <si>
    <t>RowSource</t>
  </si>
  <si>
    <t>TABLE DIFF</t>
  </si>
  <si>
    <t>COLUMN DIFF</t>
  </si>
  <si>
    <t>SELECT [parishes].[parish_id], [parishes].[parish] FROM [parishes] ORDER BY [parish]</t>
  </si>
  <si>
    <t>SELECT [persons].[person_id], [persons].[full_name] FROM [persons] ORDER BY [full_name]</t>
  </si>
  <si>
    <t>SELECT [communities].[community_id], [communities].[community_name] FROM [communities] ORDER BY [community_name]</t>
  </si>
  <si>
    <t>SELECT [sources].[source_id], [sources].[source_abbreviation] FROM [sources] ORDER BY [source_abbreviation]</t>
  </si>
  <si>
    <t>SELECT [seasons].[season_id], [seasons].[season_name] FROM [seasons] ORDER BY [season_name]</t>
  </si>
  <si>
    <t>SELECT [land_use].[land_use_id], [land_use].[type] FROM [land_use] ORDER BY [type]</t>
  </si>
  <si>
    <t>SELECT [winners].[winner_id], [winners].[winner_description] FROM [winners] ORDER BY [winner_description]</t>
  </si>
  <si>
    <t>SELECT [legal_sources].[legal_source_id], [legal_sources].[legal_source_name] FROM [legal_sources] ORDER BY [legal_source_name]</t>
  </si>
  <si>
    <t>SELECT [judgements].[judgement_id], [judgements].[sanction] FROM [judgements] ORDER BY [sanction]</t>
  </si>
  <si>
    <t>SELECT [communities].[community_name] FROM [communities] ORDER BY [community_name];</t>
  </si>
  <si>
    <t>SELECT [Ortnamn_ny1].[ID], [Ortnamn_ny1].[Kombo] FROM Ortnamn_ny1 ORDER BY [Kombo];</t>
  </si>
  <si>
    <t>community_names</t>
  </si>
  <si>
    <t>[ID]</t>
  </si>
  <si>
    <t>[Bynamn]</t>
  </si>
  <si>
    <t>[Socken]</t>
  </si>
  <si>
    <t>[Aktör]</t>
  </si>
  <si>
    <t>[By]</t>
  </si>
  <si>
    <t>[År]</t>
  </si>
  <si>
    <t>[Beskrivning]</t>
  </si>
  <si>
    <t>[OK]</t>
  </si>
  <si>
    <t>[Källa]</t>
  </si>
  <si>
    <t>[Refnr]</t>
  </si>
  <si>
    <t>[Årstid2]</t>
  </si>
  <si>
    <t>[Resurs]</t>
  </si>
  <si>
    <t>[Ortnamn_orig]</t>
  </si>
  <si>
    <t>[Vinnare]</t>
  </si>
  <si>
    <t>[Rättskälla]</t>
  </si>
  <si>
    <t>[Dom]</t>
  </si>
  <si>
    <t>[Ortnamn]</t>
  </si>
  <si>
    <t>[Tolv/nämndeman]</t>
  </si>
  <si>
    <t>[Kortkälla]</t>
  </si>
  <si>
    <t>[Typ]</t>
  </si>
  <si>
    <t>[ID_INDIVIDU]</t>
  </si>
  <si>
    <t>[ID_FATHER]</t>
  </si>
  <si>
    <t>[ID_MOTHER]</t>
  </si>
  <si>
    <t>[Given name]</t>
  </si>
  <si>
    <t>[PATRONYME]</t>
  </si>
  <si>
    <t>[Tillnamn]</t>
  </si>
  <si>
    <t>[Birth_Date]</t>
  </si>
  <si>
    <t>[Född]</t>
  </si>
  <si>
    <t>[Birth_Place]</t>
  </si>
  <si>
    <t>[Residence_Date]</t>
  </si>
  <si>
    <t>[Death_Date]</t>
  </si>
  <si>
    <t>[Död]</t>
  </si>
  <si>
    <t>[Death_Place]</t>
  </si>
  <si>
    <t>[Event for_Date]</t>
  </si>
  <si>
    <t>[Event]</t>
  </si>
  <si>
    <t>[Kommentar]</t>
  </si>
  <si>
    <t>[Helnamn]</t>
  </si>
  <si>
    <t>[SOCKENSTAD]</t>
  </si>
  <si>
    <t>[nr]</t>
  </si>
  <si>
    <t>[Årstid]</t>
  </si>
  <si>
    <t>[Påföljd]</t>
  </si>
  <si>
    <t>[Byar]</t>
  </si>
  <si>
    <t>[Entries]</t>
  </si>
  <si>
    <t>[Källor]</t>
  </si>
  <si>
    <t>[Markanvändning]</t>
  </si>
  <si>
    <t>[Personer]</t>
  </si>
  <si>
    <t>[Rättskällor]</t>
  </si>
  <si>
    <t>[Ortnamn_ny1]</t>
  </si>
  <si>
    <t>[Bynamnsfråga]</t>
  </si>
  <si>
    <t>[Kombo]</t>
  </si>
  <si>
    <t>[Ortnamn_ny]</t>
  </si>
  <si>
    <t>[given_name] &amp; " " &amp; [PATRONYME] &amp; " " &amp; [Tillnamn] &amp; " " &amp; [Född] &amp; "-" &amp; [Död] &amp; " " &amp; [Bynamn]</t>
  </si>
  <si>
    <t>OriginalExpression</t>
  </si>
  <si>
    <t>[given_name] &amp; " " &amp; [patronymic] &amp; " " &amp; [surname] &amp; " " &amp; [birth_year] &amp; "-" &amp; [death_year] &amp; " " &amp; [community_name]</t>
  </si>
  <si>
    <t>TranslatedExpression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</si>
</sst>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3" fillId="0" borderId="3" xfId="0" applyFont="1" applyBorder="1"/>
    <xf numFmtId="0" fontId="2" fillId="3" borderId="4" xfId="0" applyFont="1" applyFill="1" applyBorder="1"/>
    <xf numFmtId="0" fontId="3" fillId="0" borderId="4" xfId="0" applyFont="1" applyBorder="1"/>
    <xf numFmtId="0" fontId="2" fillId="3" borderId="5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3" fillId="4" borderId="3" xfId="0" applyFont="1" applyFill="1" applyBorder="1"/>
    <xf numFmtId="0" fontId="3" fillId="4" borderId="4" xfId="0" applyFont="1" applyFill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5" borderId="0" xfId="0" applyFont="1" applyFill="1"/>
    <xf numFmtId="0" fontId="6" fillId="6" borderId="0" xfId="0" applyFont="1" applyFill="1"/>
    <xf numFmtId="0" fontId="1" fillId="0" borderId="0" xfId="0" applyFont="1"/>
    <xf numFmtId="0" fontId="2" fillId="6" borderId="0" xfId="0" applyFont="1" applyFill="1"/>
    <xf numFmtId="0" fontId="2" fillId="6" borderId="0" xfId="0" applyFont="1" applyFill="1" applyAlignment="1">
      <alignment horizontal="left"/>
    </xf>
    <xf numFmtId="0" fontId="8" fillId="2" borderId="4" xfId="0" applyFont="1" applyFill="1" applyBorder="1"/>
    <xf numFmtId="0" fontId="7" fillId="0" borderId="0" xfId="0" applyFont="1"/>
    <xf numFmtId="0" fontId="2" fillId="2" borderId="0" xfId="0" applyFont="1" applyFill="1"/>
    <xf numFmtId="0" fontId="2" fillId="7" borderId="0" xfId="0" applyFont="1" applyFill="1"/>
    <xf numFmtId="0" fontId="6" fillId="7" borderId="0" xfId="0" applyFont="1" applyFill="1"/>
    <xf numFmtId="0" fontId="6" fillId="0" borderId="0" xfId="0" applyFont="1"/>
  </cellXfs>
  <cellStyles count="1">
    <cellStyle name="Normal" xfId="0" builtinId="0"/>
  </cellStyles>
  <dxfs count="9"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169AE548-F3EE-426F-9514-0B1B19B70989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Column1" tableColumnId="1"/>
      <queryTableField id="2" name="Column2" tableColumnId="2"/>
      <queryTableField id="6" dataBound="0" tableColumnId="6"/>
      <queryTableField id="3" name="Column3" tableColumnId="3"/>
      <queryTableField id="4" name="Column4" tableColumnId="4"/>
      <queryTableField id="8" dataBound="0" tableColumnId="7"/>
      <queryTableField id="5" name="Column5" tableColumnId="5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53775D-225D-4ADA-AE58-F7F4C7C57490}" name="TranslationMapping4" displayName="TranslationMapping4" ref="A1:H54" tableType="queryTable" totalsRowShown="0" headerRowDxfId="8">
  <autoFilter ref="A1:H54" xr:uid="{7053775D-225D-4ADA-AE58-F7F4C7C57490}"/>
  <tableColumns count="8">
    <tableColumn id="1" xr3:uid="{0E81E837-A113-4E61-BE29-07F41719EA90}" uniqueName="1" name="OriginalTable" queryTableFieldId="1" dataDxfId="7"/>
    <tableColumn id="2" xr3:uid="{0E56F3B5-EDC8-4ED7-B6D5-19C4DEB60701}" uniqueName="2" name="TranslatedTable" queryTableFieldId="2" dataDxfId="6"/>
    <tableColumn id="6" xr3:uid="{216CC933-5697-4F64-870D-68540C22FF55}" uniqueName="6" name="Gudrun" queryTableFieldId="6" dataDxfId="5"/>
    <tableColumn id="3" xr3:uid="{38847B9D-8606-48E7-90F6-9FF732AA0F84}" uniqueName="3" name="OriginalColumn" queryTableFieldId="3" dataDxfId="4"/>
    <tableColumn id="4" xr3:uid="{6D81647E-C6B0-4A6C-8497-9ACC465D0559}" uniqueName="4" name="TranslatedColumn" queryTableFieldId="4" dataDxfId="3"/>
    <tableColumn id="7" xr3:uid="{62DF50D7-E4C1-4C9B-963F-BFD0B7C4698A}" uniqueName="7" name="Gudrun_col4" queryTableFieldId="8" dataDxfId="2"/>
    <tableColumn id="5" xr3:uid="{EC3F1EC8-E42B-4010-AFD9-7E2EDE9E67C0}" uniqueName="5" name="Comment" queryTableFieldId="5" dataDxfId="1"/>
    <tableColumn id="9" xr3:uid="{497680C3-939E-4738-AEBC-61E6BDA77CC2}" uniqueName="9" name="Gudrun_col5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BA10-227A-4C3E-97E2-4D28C36FEBA2}">
  <dimension ref="A1:G54"/>
  <sheetViews>
    <sheetView topLeftCell="B33" workbookViewId="0">
      <selection activeCell="D29" sqref="D29"/>
    </sheetView>
  </sheetViews>
  <sheetFormatPr defaultColWidth="9.1328125" defaultRowHeight="13.15" x14ac:dyDescent="0.4"/>
  <cols>
    <col min="1" max="1" width="15.86328125" style="12" bestFit="1" customWidth="1"/>
    <col min="2" max="2" width="17.59765625" style="5" bestFit="1" customWidth="1"/>
    <col min="3" max="3" width="17.86328125" style="12" customWidth="1"/>
    <col min="4" max="4" width="17.265625" style="5" bestFit="1" customWidth="1"/>
    <col min="5" max="5" width="104.59765625" style="5" customWidth="1"/>
    <col min="6" max="6" width="14.1328125" style="18" customWidth="1"/>
    <col min="7" max="7" width="34.86328125" style="5" customWidth="1"/>
    <col min="8" max="16384" width="9.1328125" style="5"/>
  </cols>
  <sheetData>
    <row r="1" spans="1:7" x14ac:dyDescent="0.4">
      <c r="A1" s="3" t="s">
        <v>166</v>
      </c>
      <c r="B1" s="4" t="s">
        <v>1</v>
      </c>
      <c r="C1" s="4" t="s">
        <v>2</v>
      </c>
      <c r="D1" s="4" t="s">
        <v>3</v>
      </c>
      <c r="E1" s="4" t="s">
        <v>4</v>
      </c>
      <c r="F1" s="15" t="s">
        <v>179</v>
      </c>
      <c r="G1" s="29" t="s">
        <v>258</v>
      </c>
    </row>
    <row r="2" spans="1:7" x14ac:dyDescent="0.4">
      <c r="A2" s="6" t="s">
        <v>245</v>
      </c>
      <c r="B2" s="7" t="s">
        <v>159</v>
      </c>
      <c r="C2" s="8" t="s">
        <v>204</v>
      </c>
      <c r="D2" s="7" t="s">
        <v>160</v>
      </c>
      <c r="E2" s="7" t="s">
        <v>163</v>
      </c>
      <c r="F2" s="16"/>
    </row>
    <row r="3" spans="1:7" x14ac:dyDescent="0.4">
      <c r="A3" s="6" t="s">
        <v>245</v>
      </c>
      <c r="B3" s="7" t="s">
        <v>159</v>
      </c>
      <c r="C3" s="8" t="s">
        <v>205</v>
      </c>
      <c r="D3" s="7" t="s">
        <v>161</v>
      </c>
      <c r="E3" s="7" t="s">
        <v>164</v>
      </c>
      <c r="F3" s="16"/>
    </row>
    <row r="4" spans="1:7" x14ac:dyDescent="0.4">
      <c r="A4" s="6" t="s">
        <v>245</v>
      </c>
      <c r="B4" s="7" t="s">
        <v>159</v>
      </c>
      <c r="C4" s="8" t="s">
        <v>206</v>
      </c>
      <c r="D4" s="8" t="s">
        <v>13</v>
      </c>
      <c r="E4" s="7" t="s">
        <v>165</v>
      </c>
      <c r="F4" s="16"/>
    </row>
    <row r="5" spans="1:7" x14ac:dyDescent="0.4">
      <c r="A5" s="6" t="s">
        <v>246</v>
      </c>
      <c r="B5" s="8" t="s">
        <v>16</v>
      </c>
      <c r="C5" s="8" t="s">
        <v>204</v>
      </c>
      <c r="D5" s="8" t="s">
        <v>17</v>
      </c>
      <c r="E5" s="8" t="s">
        <v>18</v>
      </c>
      <c r="F5" s="16"/>
    </row>
    <row r="6" spans="1:7" x14ac:dyDescent="0.4">
      <c r="A6" s="13" t="s">
        <v>246</v>
      </c>
      <c r="B6" s="14" t="s">
        <v>16</v>
      </c>
      <c r="C6" s="14" t="s">
        <v>207</v>
      </c>
      <c r="D6" s="14" t="s">
        <v>20</v>
      </c>
      <c r="E6" s="14" t="s">
        <v>21</v>
      </c>
      <c r="F6" s="16"/>
    </row>
    <row r="7" spans="1:7" x14ac:dyDescent="0.4">
      <c r="A7" s="6" t="s">
        <v>246</v>
      </c>
      <c r="B7" s="8" t="s">
        <v>16</v>
      </c>
      <c r="C7" s="8" t="s">
        <v>208</v>
      </c>
      <c r="D7" s="7" t="s">
        <v>160</v>
      </c>
      <c r="E7" s="7" t="s">
        <v>171</v>
      </c>
      <c r="F7" s="16"/>
    </row>
    <row r="8" spans="1:7" x14ac:dyDescent="0.4">
      <c r="A8" s="6" t="s">
        <v>246</v>
      </c>
      <c r="B8" s="8" t="s">
        <v>16</v>
      </c>
      <c r="C8" s="8" t="s">
        <v>209</v>
      </c>
      <c r="D8" s="8" t="s">
        <v>25</v>
      </c>
      <c r="E8" s="8" t="s">
        <v>26</v>
      </c>
      <c r="F8" s="16"/>
    </row>
    <row r="9" spans="1:7" x14ac:dyDescent="0.4">
      <c r="A9" s="6" t="s">
        <v>246</v>
      </c>
      <c r="B9" s="8" t="s">
        <v>16</v>
      </c>
      <c r="C9" s="8" t="s">
        <v>210</v>
      </c>
      <c r="D9" s="8" t="s">
        <v>28</v>
      </c>
      <c r="E9" s="7" t="s">
        <v>172</v>
      </c>
      <c r="F9" s="16"/>
    </row>
    <row r="10" spans="1:7" x14ac:dyDescent="0.4">
      <c r="A10" s="6" t="s">
        <v>246</v>
      </c>
      <c r="B10" s="8" t="s">
        <v>16</v>
      </c>
      <c r="C10" s="8" t="s">
        <v>211</v>
      </c>
      <c r="D10" s="8" t="s">
        <v>31</v>
      </c>
      <c r="E10" s="8" t="s">
        <v>32</v>
      </c>
      <c r="F10" s="16"/>
    </row>
    <row r="11" spans="1:7" x14ac:dyDescent="0.4">
      <c r="A11" s="6" t="s">
        <v>246</v>
      </c>
      <c r="B11" s="8" t="s">
        <v>16</v>
      </c>
      <c r="C11" s="8" t="s">
        <v>212</v>
      </c>
      <c r="D11" s="8" t="s">
        <v>34</v>
      </c>
      <c r="E11" s="8" t="s">
        <v>35</v>
      </c>
      <c r="F11" s="16"/>
    </row>
    <row r="12" spans="1:7" x14ac:dyDescent="0.4">
      <c r="A12" s="6" t="s">
        <v>246</v>
      </c>
      <c r="B12" s="8" t="s">
        <v>16</v>
      </c>
      <c r="C12" s="8" t="s">
        <v>213</v>
      </c>
      <c r="D12" s="8" t="s">
        <v>37</v>
      </c>
      <c r="E12" s="8" t="s">
        <v>38</v>
      </c>
      <c r="F12" s="16"/>
    </row>
    <row r="13" spans="1:7" x14ac:dyDescent="0.4">
      <c r="A13" s="6" t="s">
        <v>246</v>
      </c>
      <c r="B13" s="8" t="s">
        <v>16</v>
      </c>
      <c r="C13" s="8" t="s">
        <v>214</v>
      </c>
      <c r="D13" s="8" t="s">
        <v>40</v>
      </c>
      <c r="E13" s="8" t="s">
        <v>41</v>
      </c>
      <c r="F13" s="16"/>
    </row>
    <row r="14" spans="1:7" x14ac:dyDescent="0.4">
      <c r="A14" s="6" t="s">
        <v>246</v>
      </c>
      <c r="B14" s="8" t="s">
        <v>16</v>
      </c>
      <c r="C14" s="8" t="s">
        <v>215</v>
      </c>
      <c r="D14" s="24" t="s">
        <v>73</v>
      </c>
      <c r="E14" s="8" t="s">
        <v>44</v>
      </c>
      <c r="F14" s="16"/>
    </row>
    <row r="15" spans="1:7" x14ac:dyDescent="0.4">
      <c r="A15" s="6" t="s">
        <v>246</v>
      </c>
      <c r="B15" s="8" t="s">
        <v>16</v>
      </c>
      <c r="C15" s="8" t="s">
        <v>216</v>
      </c>
      <c r="D15" s="8" t="s">
        <v>46</v>
      </c>
      <c r="E15" s="8" t="s">
        <v>47</v>
      </c>
      <c r="F15" s="16"/>
    </row>
    <row r="16" spans="1:7" x14ac:dyDescent="0.4">
      <c r="A16" s="6" t="s">
        <v>246</v>
      </c>
      <c r="B16" s="8" t="s">
        <v>16</v>
      </c>
      <c r="C16" s="8" t="s">
        <v>217</v>
      </c>
      <c r="D16" s="8" t="s">
        <v>49</v>
      </c>
      <c r="E16" s="8" t="s">
        <v>50</v>
      </c>
      <c r="F16" s="16"/>
    </row>
    <row r="17" spans="1:6" x14ac:dyDescent="0.4">
      <c r="A17" s="6" t="s">
        <v>246</v>
      </c>
      <c r="B17" s="8" t="s">
        <v>16</v>
      </c>
      <c r="C17" s="8" t="s">
        <v>218</v>
      </c>
      <c r="D17" s="8" t="s">
        <v>52</v>
      </c>
      <c r="E17" s="8" t="s">
        <v>53</v>
      </c>
      <c r="F17" s="16"/>
    </row>
    <row r="18" spans="1:6" x14ac:dyDescent="0.4">
      <c r="A18" s="6" t="s">
        <v>246</v>
      </c>
      <c r="B18" s="8" t="s">
        <v>16</v>
      </c>
      <c r="C18" s="8" t="s">
        <v>219</v>
      </c>
      <c r="D18" s="8" t="s">
        <v>55</v>
      </c>
      <c r="E18" s="8" t="s">
        <v>56</v>
      </c>
      <c r="F18" s="16"/>
    </row>
    <row r="19" spans="1:6" x14ac:dyDescent="0.4">
      <c r="A19" s="6" t="s">
        <v>246</v>
      </c>
      <c r="B19" s="8" t="s">
        <v>16</v>
      </c>
      <c r="C19" s="8" t="s">
        <v>220</v>
      </c>
      <c r="D19" s="8" t="s">
        <v>58</v>
      </c>
      <c r="E19" s="7" t="s">
        <v>173</v>
      </c>
      <c r="F19" s="16"/>
    </row>
    <row r="20" spans="1:6" x14ac:dyDescent="0.4">
      <c r="A20" s="6" t="s">
        <v>246</v>
      </c>
      <c r="B20" s="8" t="s">
        <v>16</v>
      </c>
      <c r="C20" s="8" t="s">
        <v>221</v>
      </c>
      <c r="D20" s="8" t="s">
        <v>61</v>
      </c>
      <c r="E20" s="8" t="s">
        <v>62</v>
      </c>
      <c r="F20" s="16"/>
    </row>
    <row r="21" spans="1:6" x14ac:dyDescent="0.4">
      <c r="A21" s="6" t="s">
        <v>247</v>
      </c>
      <c r="B21" s="8" t="s">
        <v>64</v>
      </c>
      <c r="C21" s="8" t="s">
        <v>204</v>
      </c>
      <c r="D21" s="8" t="s">
        <v>34</v>
      </c>
      <c r="E21" s="8" t="s">
        <v>65</v>
      </c>
      <c r="F21" s="16"/>
    </row>
    <row r="22" spans="1:6" x14ac:dyDescent="0.4">
      <c r="A22" s="6" t="s">
        <v>247</v>
      </c>
      <c r="B22" s="8" t="s">
        <v>64</v>
      </c>
      <c r="C22" s="8" t="s">
        <v>212</v>
      </c>
      <c r="D22" s="8" t="s">
        <v>66</v>
      </c>
      <c r="E22" s="8" t="s">
        <v>67</v>
      </c>
      <c r="F22" s="16"/>
    </row>
    <row r="23" spans="1:6" x14ac:dyDescent="0.4">
      <c r="A23" s="6" t="s">
        <v>247</v>
      </c>
      <c r="B23" s="8" t="s">
        <v>64</v>
      </c>
      <c r="C23" s="8" t="s">
        <v>222</v>
      </c>
      <c r="D23" s="8" t="s">
        <v>69</v>
      </c>
      <c r="E23" s="8" t="s">
        <v>70</v>
      </c>
      <c r="F23" s="16"/>
    </row>
    <row r="24" spans="1:6" x14ac:dyDescent="0.4">
      <c r="A24" s="6" t="s">
        <v>248</v>
      </c>
      <c r="B24" s="8" t="s">
        <v>72</v>
      </c>
      <c r="C24" s="8" t="s">
        <v>204</v>
      </c>
      <c r="D24" s="8" t="s">
        <v>73</v>
      </c>
      <c r="E24" s="8" t="s">
        <v>74</v>
      </c>
      <c r="F24" s="16"/>
    </row>
    <row r="25" spans="1:6" x14ac:dyDescent="0.4">
      <c r="A25" s="6" t="s">
        <v>248</v>
      </c>
      <c r="B25" s="8" t="s">
        <v>72</v>
      </c>
      <c r="C25" s="8" t="s">
        <v>223</v>
      </c>
      <c r="D25" s="8" t="s">
        <v>76</v>
      </c>
      <c r="E25" s="8" t="s">
        <v>77</v>
      </c>
      <c r="F25" s="16"/>
    </row>
    <row r="26" spans="1:6" x14ac:dyDescent="0.4">
      <c r="A26" s="6" t="s">
        <v>249</v>
      </c>
      <c r="B26" s="8" t="s">
        <v>79</v>
      </c>
      <c r="C26" s="8" t="s">
        <v>204</v>
      </c>
      <c r="D26" s="8" t="s">
        <v>80</v>
      </c>
      <c r="E26" s="8" t="s">
        <v>81</v>
      </c>
      <c r="F26" s="16"/>
    </row>
    <row r="27" spans="1:6" x14ac:dyDescent="0.4">
      <c r="A27" s="6" t="s">
        <v>249</v>
      </c>
      <c r="B27" s="8" t="s">
        <v>79</v>
      </c>
      <c r="C27" s="8" t="s">
        <v>224</v>
      </c>
      <c r="D27" s="8" t="s">
        <v>83</v>
      </c>
      <c r="E27" s="8" t="s">
        <v>84</v>
      </c>
      <c r="F27" s="16" t="s">
        <v>180</v>
      </c>
    </row>
    <row r="28" spans="1:6" x14ac:dyDescent="0.4">
      <c r="A28" s="6" t="s">
        <v>249</v>
      </c>
      <c r="B28" s="8" t="s">
        <v>79</v>
      </c>
      <c r="C28" s="8" t="s">
        <v>225</v>
      </c>
      <c r="D28" s="8" t="s">
        <v>86</v>
      </c>
      <c r="E28" s="8" t="s">
        <v>87</v>
      </c>
      <c r="F28" s="16" t="s">
        <v>180</v>
      </c>
    </row>
    <row r="29" spans="1:6" x14ac:dyDescent="0.4">
      <c r="A29" s="6" t="s">
        <v>249</v>
      </c>
      <c r="B29" s="8" t="s">
        <v>79</v>
      </c>
      <c r="C29" s="8" t="s">
        <v>226</v>
      </c>
      <c r="D29" s="8" t="s">
        <v>89</v>
      </c>
      <c r="E29" s="8" t="s">
        <v>90</v>
      </c>
      <c r="F29" s="16" t="s">
        <v>180</v>
      </c>
    </row>
    <row r="30" spans="1:6" x14ac:dyDescent="0.4">
      <c r="A30" s="6" t="s">
        <v>249</v>
      </c>
      <c r="B30" s="8" t="s">
        <v>79</v>
      </c>
      <c r="C30" s="8" t="s">
        <v>227</v>
      </c>
      <c r="D30" s="8" t="s">
        <v>92</v>
      </c>
      <c r="E30" s="8" t="s">
        <v>93</v>
      </c>
      <c r="F30" s="16"/>
    </row>
    <row r="31" spans="1:6" x14ac:dyDescent="0.4">
      <c r="A31" s="6" t="s">
        <v>249</v>
      </c>
      <c r="B31" s="8" t="s">
        <v>79</v>
      </c>
      <c r="C31" s="8" t="s">
        <v>228</v>
      </c>
      <c r="D31" s="8" t="s">
        <v>95</v>
      </c>
      <c r="E31" s="8" t="s">
        <v>96</v>
      </c>
      <c r="F31" s="16"/>
    </row>
    <row r="32" spans="1:6" x14ac:dyDescent="0.4">
      <c r="A32" s="6" t="s">
        <v>249</v>
      </c>
      <c r="B32" s="8" t="s">
        <v>79</v>
      </c>
      <c r="C32" s="8" t="s">
        <v>229</v>
      </c>
      <c r="D32" s="8" t="s">
        <v>98</v>
      </c>
      <c r="E32" s="8" t="s">
        <v>99</v>
      </c>
      <c r="F32" s="16"/>
    </row>
    <row r="33" spans="1:7" x14ac:dyDescent="0.4">
      <c r="A33" s="6" t="s">
        <v>249</v>
      </c>
      <c r="B33" s="8" t="s">
        <v>79</v>
      </c>
      <c r="C33" s="8" t="s">
        <v>230</v>
      </c>
      <c r="D33" s="8" t="s">
        <v>101</v>
      </c>
      <c r="E33" s="8" t="s">
        <v>102</v>
      </c>
      <c r="F33" s="16" t="s">
        <v>180</v>
      </c>
    </row>
    <row r="34" spans="1:7" x14ac:dyDescent="0.4">
      <c r="A34" s="6" t="s">
        <v>249</v>
      </c>
      <c r="B34" s="8" t="s">
        <v>79</v>
      </c>
      <c r="C34" s="8" t="s">
        <v>231</v>
      </c>
      <c r="D34" s="8" t="s">
        <v>104</v>
      </c>
      <c r="E34" s="8" t="s">
        <v>105</v>
      </c>
      <c r="F34" s="16"/>
    </row>
    <row r="35" spans="1:7" x14ac:dyDescent="0.4">
      <c r="A35" s="6" t="s">
        <v>249</v>
      </c>
      <c r="B35" s="8" t="s">
        <v>79</v>
      </c>
      <c r="C35" s="8" t="s">
        <v>232</v>
      </c>
      <c r="D35" s="8" t="s">
        <v>107</v>
      </c>
      <c r="E35" s="8" t="s">
        <v>108</v>
      </c>
      <c r="F35" s="16" t="s">
        <v>180</v>
      </c>
    </row>
    <row r="36" spans="1:7" x14ac:dyDescent="0.4">
      <c r="A36" s="6" t="s">
        <v>249</v>
      </c>
      <c r="B36" s="8" t="s">
        <v>79</v>
      </c>
      <c r="C36" s="8" t="s">
        <v>233</v>
      </c>
      <c r="D36" s="8" t="s">
        <v>110</v>
      </c>
      <c r="E36" s="8" t="s">
        <v>111</v>
      </c>
      <c r="F36" s="16" t="s">
        <v>180</v>
      </c>
    </row>
    <row r="37" spans="1:7" x14ac:dyDescent="0.4">
      <c r="A37" s="6" t="s">
        <v>249</v>
      </c>
      <c r="B37" s="8" t="s">
        <v>79</v>
      </c>
      <c r="C37" s="8" t="s">
        <v>234</v>
      </c>
      <c r="D37" s="8" t="s">
        <v>113</v>
      </c>
      <c r="E37" s="8" t="s">
        <v>114</v>
      </c>
      <c r="F37" s="16" t="s">
        <v>180</v>
      </c>
    </row>
    <row r="38" spans="1:7" x14ac:dyDescent="0.4">
      <c r="A38" s="6" t="s">
        <v>249</v>
      </c>
      <c r="B38" s="8" t="s">
        <v>79</v>
      </c>
      <c r="C38" s="8" t="s">
        <v>235</v>
      </c>
      <c r="D38" s="8" t="s">
        <v>116</v>
      </c>
      <c r="E38" s="8" t="s">
        <v>117</v>
      </c>
      <c r="F38" s="16"/>
    </row>
    <row r="39" spans="1:7" x14ac:dyDescent="0.4">
      <c r="A39" s="6" t="s">
        <v>249</v>
      </c>
      <c r="B39" s="8" t="s">
        <v>79</v>
      </c>
      <c r="C39" s="8" t="s">
        <v>236</v>
      </c>
      <c r="D39" s="8" t="s">
        <v>119</v>
      </c>
      <c r="E39" s="8" t="s">
        <v>120</v>
      </c>
      <c r="F39" s="16" t="s">
        <v>180</v>
      </c>
    </row>
    <row r="40" spans="1:7" x14ac:dyDescent="0.4">
      <c r="A40" s="6" t="s">
        <v>249</v>
      </c>
      <c r="B40" s="8" t="s">
        <v>79</v>
      </c>
      <c r="C40" s="8" t="s">
        <v>237</v>
      </c>
      <c r="D40" s="8" t="s">
        <v>122</v>
      </c>
      <c r="E40" s="8" t="s">
        <v>123</v>
      </c>
      <c r="F40" s="16" t="s">
        <v>180</v>
      </c>
    </row>
    <row r="41" spans="1:7" x14ac:dyDescent="0.4">
      <c r="A41" s="6" t="s">
        <v>249</v>
      </c>
      <c r="B41" s="8" t="s">
        <v>79</v>
      </c>
      <c r="C41" s="8" t="s">
        <v>238</v>
      </c>
      <c r="D41" s="8" t="s">
        <v>125</v>
      </c>
      <c r="E41" s="8" t="s">
        <v>126</v>
      </c>
      <c r="F41" s="16" t="s">
        <v>180</v>
      </c>
    </row>
    <row r="42" spans="1:7" x14ac:dyDescent="0.4">
      <c r="A42" s="6" t="s">
        <v>249</v>
      </c>
      <c r="B42" s="8" t="s">
        <v>79</v>
      </c>
      <c r="C42" s="8" t="s">
        <v>205</v>
      </c>
      <c r="D42" s="7" t="s">
        <v>161</v>
      </c>
      <c r="E42" s="8" t="s">
        <v>127</v>
      </c>
      <c r="F42" s="16"/>
    </row>
    <row r="43" spans="1:7" x14ac:dyDescent="0.4">
      <c r="A43" s="6" t="s">
        <v>249</v>
      </c>
      <c r="B43" s="8" t="s">
        <v>79</v>
      </c>
      <c r="C43" s="8" t="s">
        <v>239</v>
      </c>
      <c r="D43" s="8" t="s">
        <v>129</v>
      </c>
      <c r="E43" s="8" t="s">
        <v>130</v>
      </c>
      <c r="F43" s="16" t="s">
        <v>180</v>
      </c>
    </row>
    <row r="44" spans="1:7" x14ac:dyDescent="0.4">
      <c r="A44" s="6" t="s">
        <v>249</v>
      </c>
      <c r="B44" s="8" t="s">
        <v>79</v>
      </c>
      <c r="C44" s="8" t="s">
        <v>240</v>
      </c>
      <c r="D44" s="8" t="s">
        <v>132</v>
      </c>
      <c r="E44" s="8" t="s">
        <v>133</v>
      </c>
      <c r="F44" s="16"/>
      <c r="G44" s="5" t="s">
        <v>257</v>
      </c>
    </row>
    <row r="45" spans="1:7" x14ac:dyDescent="0.4">
      <c r="A45" s="6" t="s">
        <v>250</v>
      </c>
      <c r="B45" s="8" t="s">
        <v>135</v>
      </c>
      <c r="C45" s="8" t="s">
        <v>204</v>
      </c>
      <c r="D45" s="8" t="s">
        <v>52</v>
      </c>
      <c r="E45" s="8" t="s">
        <v>136</v>
      </c>
      <c r="F45" s="16"/>
    </row>
    <row r="46" spans="1:7" x14ac:dyDescent="0.4">
      <c r="A46" s="6" t="s">
        <v>250</v>
      </c>
      <c r="B46" s="8" t="s">
        <v>135</v>
      </c>
      <c r="C46" s="8" t="s">
        <v>218</v>
      </c>
      <c r="D46" s="8" t="s">
        <v>137</v>
      </c>
      <c r="E46" s="8" t="s">
        <v>138</v>
      </c>
      <c r="F46" s="16"/>
    </row>
    <row r="47" spans="1:7" x14ac:dyDescent="0.4">
      <c r="A47" s="6" t="s">
        <v>206</v>
      </c>
      <c r="B47" s="8" t="s">
        <v>139</v>
      </c>
      <c r="C47" s="8" t="s">
        <v>241</v>
      </c>
      <c r="D47" s="7" t="s">
        <v>162</v>
      </c>
      <c r="E47" s="9" t="s">
        <v>176</v>
      </c>
      <c r="F47" s="16"/>
    </row>
    <row r="48" spans="1:7" x14ac:dyDescent="0.4">
      <c r="A48" s="6" t="s">
        <v>206</v>
      </c>
      <c r="B48" s="8" t="s">
        <v>139</v>
      </c>
      <c r="C48" s="8" t="s">
        <v>242</v>
      </c>
      <c r="D48" s="8" t="s">
        <v>13</v>
      </c>
      <c r="E48" s="8" t="s">
        <v>144</v>
      </c>
      <c r="F48" s="16"/>
    </row>
    <row r="49" spans="1:6" x14ac:dyDescent="0.4">
      <c r="A49" s="6" t="s">
        <v>217</v>
      </c>
      <c r="B49" s="8" t="s">
        <v>145</v>
      </c>
      <c r="C49" s="8" t="s">
        <v>204</v>
      </c>
      <c r="D49" s="8" t="s">
        <v>49</v>
      </c>
      <c r="E49" s="8" t="s">
        <v>146</v>
      </c>
      <c r="F49" s="16"/>
    </row>
    <row r="50" spans="1:6" x14ac:dyDescent="0.4">
      <c r="A50" s="6" t="s">
        <v>217</v>
      </c>
      <c r="B50" s="8" t="s">
        <v>145</v>
      </c>
      <c r="C50" s="8" t="s">
        <v>217</v>
      </c>
      <c r="D50" s="8" t="s">
        <v>147</v>
      </c>
      <c r="E50" s="7" t="s">
        <v>177</v>
      </c>
      <c r="F50" s="16"/>
    </row>
    <row r="51" spans="1:6" x14ac:dyDescent="0.4">
      <c r="A51" s="6" t="s">
        <v>243</v>
      </c>
      <c r="B51" s="8" t="s">
        <v>150</v>
      </c>
      <c r="C51" s="8" t="s">
        <v>204</v>
      </c>
      <c r="D51" s="8" t="s">
        <v>40</v>
      </c>
      <c r="E51" s="8" t="s">
        <v>151</v>
      </c>
      <c r="F51" s="16"/>
    </row>
    <row r="52" spans="1:6" x14ac:dyDescent="0.4">
      <c r="A52" s="6" t="s">
        <v>243</v>
      </c>
      <c r="B52" s="8" t="s">
        <v>150</v>
      </c>
      <c r="C52" s="8" t="s">
        <v>243</v>
      </c>
      <c r="D52" s="8" t="s">
        <v>152</v>
      </c>
      <c r="E52" s="7" t="s">
        <v>178</v>
      </c>
      <c r="F52" s="16"/>
    </row>
    <row r="53" spans="1:6" x14ac:dyDescent="0.4">
      <c r="A53" s="6" t="s">
        <v>219</v>
      </c>
      <c r="B53" s="8" t="s">
        <v>154</v>
      </c>
      <c r="C53" s="8" t="s">
        <v>204</v>
      </c>
      <c r="D53" s="8" t="s">
        <v>55</v>
      </c>
      <c r="E53" s="8" t="s">
        <v>155</v>
      </c>
      <c r="F53" s="16"/>
    </row>
    <row r="54" spans="1:6" x14ac:dyDescent="0.4">
      <c r="A54" s="10" t="s">
        <v>219</v>
      </c>
      <c r="B54" s="11" t="s">
        <v>154</v>
      </c>
      <c r="C54" s="11" t="s">
        <v>244</v>
      </c>
      <c r="D54" s="11" t="s">
        <v>157</v>
      </c>
      <c r="E54" s="11" t="s">
        <v>158</v>
      </c>
      <c r="F54" s="17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EF77-4FE4-4B8F-9014-B148E5EFEFE5}">
  <dimension ref="A1:B54"/>
  <sheetViews>
    <sheetView workbookViewId="0">
      <selection activeCell="A2" sqref="A2:B12"/>
    </sheetView>
  </sheetViews>
  <sheetFormatPr defaultRowHeight="14.25" x14ac:dyDescent="0.45"/>
  <cols>
    <col min="1" max="1" width="15.86328125" style="12" bestFit="1" customWidth="1"/>
    <col min="2" max="2" width="17.59765625" style="5" bestFit="1" customWidth="1"/>
  </cols>
  <sheetData>
    <row r="1" spans="1:2" x14ac:dyDescent="0.45">
      <c r="A1" s="21" t="s">
        <v>166</v>
      </c>
      <c r="B1" s="21" t="s">
        <v>1</v>
      </c>
    </row>
    <row r="2" spans="1:2" x14ac:dyDescent="0.45">
      <c r="A2" s="5" t="s">
        <v>245</v>
      </c>
      <c r="B2" s="12" t="s">
        <v>159</v>
      </c>
    </row>
    <row r="3" spans="1:2" x14ac:dyDescent="0.45">
      <c r="A3" s="12" t="s">
        <v>246</v>
      </c>
      <c r="B3" s="12" t="s">
        <v>16</v>
      </c>
    </row>
    <row r="4" spans="1:2" x14ac:dyDescent="0.45">
      <c r="A4" s="5" t="s">
        <v>247</v>
      </c>
      <c r="B4" s="12" t="s">
        <v>64</v>
      </c>
    </row>
    <row r="5" spans="1:2" x14ac:dyDescent="0.45">
      <c r="A5" s="5" t="s">
        <v>248</v>
      </c>
      <c r="B5" s="12" t="s">
        <v>72</v>
      </c>
    </row>
    <row r="6" spans="1:2" x14ac:dyDescent="0.45">
      <c r="A6" s="5" t="s">
        <v>249</v>
      </c>
      <c r="B6" s="12" t="s">
        <v>79</v>
      </c>
    </row>
    <row r="7" spans="1:2" x14ac:dyDescent="0.45">
      <c r="A7" s="5" t="s">
        <v>250</v>
      </c>
      <c r="B7" s="12" t="s">
        <v>135</v>
      </c>
    </row>
    <row r="8" spans="1:2" x14ac:dyDescent="0.45">
      <c r="A8" s="5" t="s">
        <v>206</v>
      </c>
      <c r="B8" s="12" t="s">
        <v>139</v>
      </c>
    </row>
    <row r="9" spans="1:2" x14ac:dyDescent="0.45">
      <c r="A9" s="5" t="s">
        <v>217</v>
      </c>
      <c r="B9" s="12" t="s">
        <v>145</v>
      </c>
    </row>
    <row r="10" spans="1:2" x14ac:dyDescent="0.45">
      <c r="A10" s="5" t="s">
        <v>243</v>
      </c>
      <c r="B10" s="12" t="s">
        <v>150</v>
      </c>
    </row>
    <row r="11" spans="1:2" x14ac:dyDescent="0.45">
      <c r="A11" s="5" t="s">
        <v>219</v>
      </c>
      <c r="B11" s="12" t="s">
        <v>154</v>
      </c>
    </row>
    <row r="12" spans="1:2" x14ac:dyDescent="0.45">
      <c r="A12" s="12" t="s">
        <v>254</v>
      </c>
      <c r="B12" s="12" t="s">
        <v>203</v>
      </c>
    </row>
    <row r="13" spans="1:2" x14ac:dyDescent="0.45">
      <c r="A13"/>
      <c r="B13"/>
    </row>
    <row r="14" spans="1:2" x14ac:dyDescent="0.45">
      <c r="A14"/>
      <c r="B14"/>
    </row>
    <row r="15" spans="1:2" x14ac:dyDescent="0.45">
      <c r="A15"/>
      <c r="B15"/>
    </row>
    <row r="16" spans="1:2" x14ac:dyDescent="0.45">
      <c r="A16"/>
      <c r="B16"/>
    </row>
    <row r="17" spans="1:2" x14ac:dyDescent="0.45">
      <c r="A17"/>
      <c r="B17"/>
    </row>
    <row r="18" spans="1:2" x14ac:dyDescent="0.45">
      <c r="A18"/>
      <c r="B18"/>
    </row>
    <row r="19" spans="1:2" x14ac:dyDescent="0.45">
      <c r="A19"/>
      <c r="B19"/>
    </row>
    <row r="20" spans="1:2" x14ac:dyDescent="0.45">
      <c r="A20"/>
      <c r="B20"/>
    </row>
    <row r="21" spans="1:2" x14ac:dyDescent="0.45">
      <c r="A21"/>
      <c r="B21"/>
    </row>
    <row r="22" spans="1:2" x14ac:dyDescent="0.45">
      <c r="A22"/>
      <c r="B22"/>
    </row>
    <row r="23" spans="1:2" x14ac:dyDescent="0.45">
      <c r="A23"/>
      <c r="B23"/>
    </row>
    <row r="24" spans="1:2" x14ac:dyDescent="0.45">
      <c r="A24"/>
      <c r="B24"/>
    </row>
    <row r="25" spans="1:2" x14ac:dyDescent="0.45">
      <c r="A25"/>
      <c r="B25"/>
    </row>
    <row r="26" spans="1:2" x14ac:dyDescent="0.45">
      <c r="A26"/>
      <c r="B26"/>
    </row>
    <row r="27" spans="1:2" x14ac:dyDescent="0.45">
      <c r="A27"/>
      <c r="B27"/>
    </row>
    <row r="28" spans="1:2" x14ac:dyDescent="0.45">
      <c r="A28"/>
      <c r="B28"/>
    </row>
    <row r="29" spans="1:2" x14ac:dyDescent="0.45">
      <c r="A29"/>
      <c r="B29"/>
    </row>
    <row r="30" spans="1:2" x14ac:dyDescent="0.45">
      <c r="A30"/>
      <c r="B30"/>
    </row>
    <row r="31" spans="1:2" x14ac:dyDescent="0.45">
      <c r="A31"/>
      <c r="B31"/>
    </row>
    <row r="32" spans="1:2" x14ac:dyDescent="0.45">
      <c r="A32"/>
      <c r="B32"/>
    </row>
    <row r="33" spans="1:2" x14ac:dyDescent="0.45">
      <c r="A33"/>
      <c r="B33"/>
    </row>
    <row r="34" spans="1:2" x14ac:dyDescent="0.45">
      <c r="A34"/>
      <c r="B34"/>
    </row>
    <row r="35" spans="1:2" x14ac:dyDescent="0.45">
      <c r="A35"/>
      <c r="B35"/>
    </row>
    <row r="36" spans="1:2" x14ac:dyDescent="0.45">
      <c r="A36"/>
      <c r="B36"/>
    </row>
    <row r="37" spans="1:2" x14ac:dyDescent="0.45">
      <c r="A37"/>
      <c r="B37"/>
    </row>
    <row r="38" spans="1:2" x14ac:dyDescent="0.45">
      <c r="A38"/>
      <c r="B38"/>
    </row>
    <row r="39" spans="1:2" x14ac:dyDescent="0.45">
      <c r="A39"/>
      <c r="B39"/>
    </row>
    <row r="40" spans="1:2" x14ac:dyDescent="0.45">
      <c r="A40"/>
      <c r="B40"/>
    </row>
    <row r="41" spans="1:2" x14ac:dyDescent="0.45">
      <c r="A41"/>
      <c r="B41"/>
    </row>
    <row r="42" spans="1:2" x14ac:dyDescent="0.45">
      <c r="A42"/>
      <c r="B42"/>
    </row>
    <row r="43" spans="1:2" x14ac:dyDescent="0.45">
      <c r="A43"/>
      <c r="B43"/>
    </row>
    <row r="44" spans="1:2" x14ac:dyDescent="0.45">
      <c r="A44"/>
      <c r="B44"/>
    </row>
    <row r="45" spans="1:2" x14ac:dyDescent="0.45">
      <c r="A45"/>
      <c r="B45"/>
    </row>
    <row r="46" spans="1:2" x14ac:dyDescent="0.45">
      <c r="A46"/>
      <c r="B46"/>
    </row>
    <row r="47" spans="1:2" x14ac:dyDescent="0.45">
      <c r="A47"/>
      <c r="B47"/>
    </row>
    <row r="48" spans="1:2" x14ac:dyDescent="0.45">
      <c r="A48"/>
      <c r="B48"/>
    </row>
    <row r="49" spans="1:2" x14ac:dyDescent="0.45">
      <c r="A49"/>
      <c r="B49"/>
    </row>
    <row r="50" spans="1:2" x14ac:dyDescent="0.45">
      <c r="A50"/>
      <c r="B50"/>
    </row>
    <row r="51" spans="1:2" x14ac:dyDescent="0.45">
      <c r="A51"/>
      <c r="B51"/>
    </row>
    <row r="52" spans="1:2" x14ac:dyDescent="0.45">
      <c r="A52"/>
      <c r="B52"/>
    </row>
    <row r="53" spans="1:2" x14ac:dyDescent="0.45">
      <c r="A53"/>
      <c r="B53"/>
    </row>
    <row r="54" spans="1:2" x14ac:dyDescent="0.45">
      <c r="A54"/>
      <c r="B5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0BD7-0F12-4758-A514-20641236A78C}">
  <dimension ref="A1:F2"/>
  <sheetViews>
    <sheetView topLeftCell="D1" workbookViewId="0">
      <selection activeCell="F2" sqref="F2"/>
    </sheetView>
  </sheetViews>
  <sheetFormatPr defaultRowHeight="14.25" x14ac:dyDescent="0.45"/>
  <cols>
    <col min="1" max="1" width="11.19921875" bestFit="1" customWidth="1"/>
    <col min="2" max="2" width="13" bestFit="1" customWidth="1"/>
    <col min="3" max="3" width="13.33203125" bestFit="1" customWidth="1"/>
    <col min="4" max="4" width="15.06640625" bestFit="1" customWidth="1"/>
    <col min="5" max="5" width="82.265625" customWidth="1"/>
    <col min="6" max="6" width="99" bestFit="1" customWidth="1"/>
  </cols>
  <sheetData>
    <row r="1" spans="1:6" x14ac:dyDescent="0.45">
      <c r="A1" s="25" t="s">
        <v>166</v>
      </c>
      <c r="B1" s="25" t="s">
        <v>2</v>
      </c>
      <c r="C1" s="25" t="s">
        <v>1</v>
      </c>
      <c r="D1" s="25" t="s">
        <v>3</v>
      </c>
      <c r="E1" s="25" t="s">
        <v>256</v>
      </c>
      <c r="F1" s="25" t="s">
        <v>258</v>
      </c>
    </row>
    <row r="2" spans="1:6" x14ac:dyDescent="0.45">
      <c r="A2" t="s">
        <v>249</v>
      </c>
      <c r="B2" t="s">
        <v>240</v>
      </c>
      <c r="C2" t="s">
        <v>79</v>
      </c>
      <c r="D2" t="s">
        <v>132</v>
      </c>
      <c r="E2" t="s">
        <v>255</v>
      </c>
      <c r="F2" t="s">
        <v>257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9837-7527-4194-AAEA-9453D79A2611}">
  <dimension ref="A1"/>
  <sheetViews>
    <sheetView workbookViewId="0">
      <selection activeCell="I19" sqref="I19"/>
    </sheetView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608D-D1C8-4511-9254-FFF1593EF725}">
  <dimension ref="A1:E12"/>
  <sheetViews>
    <sheetView tabSelected="1" workbookViewId="0">
      <selection activeCell="E9" sqref="E9"/>
    </sheetView>
  </sheetViews>
  <sheetFormatPr defaultRowHeight="14.25" x14ac:dyDescent="0.45"/>
  <cols>
    <col min="1" max="1" width="11.19921875" bestFit="1" customWidth="1"/>
    <col min="2" max="2" width="13" bestFit="1" customWidth="1"/>
    <col min="3" max="3" width="14.06640625" customWidth="1"/>
    <col min="4" max="4" width="15" bestFit="1" customWidth="1"/>
    <col min="5" max="5" width="106.06640625" bestFit="1" customWidth="1"/>
  </cols>
  <sheetData>
    <row r="1" spans="1:5" x14ac:dyDescent="0.45">
      <c r="A1" s="25" t="s">
        <v>166</v>
      </c>
      <c r="B1" s="25" t="s">
        <v>2</v>
      </c>
      <c r="C1" s="25" t="s">
        <v>1</v>
      </c>
      <c r="D1" s="25" t="s">
        <v>3</v>
      </c>
      <c r="E1" s="25" t="s">
        <v>189</v>
      </c>
    </row>
    <row r="2" spans="1:5" x14ac:dyDescent="0.45">
      <c r="A2" t="s">
        <v>245</v>
      </c>
      <c r="B2" t="s">
        <v>206</v>
      </c>
      <c r="C2" t="s">
        <v>159</v>
      </c>
      <c r="D2" t="s">
        <v>13</v>
      </c>
      <c r="E2" t="s">
        <v>192</v>
      </c>
    </row>
    <row r="3" spans="1:5" x14ac:dyDescent="0.45">
      <c r="A3" t="s">
        <v>246</v>
      </c>
      <c r="B3" t="s">
        <v>207</v>
      </c>
      <c r="C3" t="s">
        <v>16</v>
      </c>
      <c r="D3" t="s">
        <v>20</v>
      </c>
      <c r="E3" t="s">
        <v>193</v>
      </c>
    </row>
    <row r="4" spans="1:5" x14ac:dyDescent="0.45">
      <c r="A4" t="s">
        <v>246</v>
      </c>
      <c r="B4" t="s">
        <v>208</v>
      </c>
      <c r="C4" t="s">
        <v>16</v>
      </c>
      <c r="D4" t="s">
        <v>160</v>
      </c>
      <c r="E4" t="s">
        <v>194</v>
      </c>
    </row>
    <row r="5" spans="1:5" x14ac:dyDescent="0.45">
      <c r="A5" t="s">
        <v>246</v>
      </c>
      <c r="B5" t="s">
        <v>212</v>
      </c>
      <c r="C5" t="s">
        <v>16</v>
      </c>
      <c r="D5" t="s">
        <v>34</v>
      </c>
      <c r="E5" t="s">
        <v>195</v>
      </c>
    </row>
    <row r="6" spans="1:5" x14ac:dyDescent="0.45">
      <c r="A6" t="s">
        <v>246</v>
      </c>
      <c r="B6" t="s">
        <v>214</v>
      </c>
      <c r="C6" t="s">
        <v>16</v>
      </c>
      <c r="D6" t="s">
        <v>40</v>
      </c>
      <c r="E6" t="s">
        <v>196</v>
      </c>
    </row>
    <row r="7" spans="1:5" x14ac:dyDescent="0.45">
      <c r="A7" t="s">
        <v>246</v>
      </c>
      <c r="B7" t="s">
        <v>215</v>
      </c>
      <c r="C7" t="s">
        <v>16</v>
      </c>
      <c r="D7" t="s">
        <v>73</v>
      </c>
      <c r="E7" t="s">
        <v>197</v>
      </c>
    </row>
    <row r="8" spans="1:5" x14ac:dyDescent="0.45">
      <c r="A8" t="s">
        <v>246</v>
      </c>
      <c r="B8" t="s">
        <v>217</v>
      </c>
      <c r="C8" t="s">
        <v>16</v>
      </c>
      <c r="D8" t="s">
        <v>49</v>
      </c>
      <c r="E8" t="s">
        <v>198</v>
      </c>
    </row>
    <row r="9" spans="1:5" x14ac:dyDescent="0.45">
      <c r="A9" t="s">
        <v>246</v>
      </c>
      <c r="B9" t="s">
        <v>218</v>
      </c>
      <c r="C9" t="s">
        <v>16</v>
      </c>
      <c r="D9" t="s">
        <v>52</v>
      </c>
      <c r="E9" t="s">
        <v>199</v>
      </c>
    </row>
    <row r="10" spans="1:5" x14ac:dyDescent="0.45">
      <c r="A10" t="s">
        <v>246</v>
      </c>
      <c r="B10" t="s">
        <v>219</v>
      </c>
      <c r="C10" t="s">
        <v>16</v>
      </c>
      <c r="D10" t="s">
        <v>55</v>
      </c>
      <c r="E10" t="s">
        <v>200</v>
      </c>
    </row>
    <row r="11" spans="1:5" x14ac:dyDescent="0.45">
      <c r="A11" t="s">
        <v>246</v>
      </c>
      <c r="B11" t="s">
        <v>220</v>
      </c>
      <c r="C11" t="s">
        <v>16</v>
      </c>
      <c r="D11" t="s">
        <v>58</v>
      </c>
      <c r="E11" t="s">
        <v>202</v>
      </c>
    </row>
    <row r="12" spans="1:5" x14ac:dyDescent="0.45">
      <c r="A12" t="s">
        <v>249</v>
      </c>
      <c r="B12" t="s">
        <v>205</v>
      </c>
      <c r="C12" t="s">
        <v>79</v>
      </c>
      <c r="D12" t="s">
        <v>161</v>
      </c>
      <c r="E12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3E98-6D8B-4028-8401-3861BC40C700}">
  <dimension ref="A1:K41"/>
  <sheetViews>
    <sheetView workbookViewId="0">
      <selection activeCell="A30" sqref="A30:E41"/>
    </sheetView>
  </sheetViews>
  <sheetFormatPr defaultColWidth="9.1328125" defaultRowHeight="13.15" x14ac:dyDescent="0.4"/>
  <cols>
    <col min="1" max="1" width="13.1328125" style="5" customWidth="1"/>
    <col min="2" max="2" width="17" style="5" customWidth="1"/>
    <col min="3" max="3" width="17.3984375" style="5" bestFit="1" customWidth="1"/>
    <col min="4" max="4" width="9.59765625" style="5" bestFit="1" customWidth="1"/>
    <col min="5" max="5" width="14.19921875" style="5" customWidth="1"/>
    <col min="6" max="6" width="14.265625" style="5" bestFit="1" customWidth="1"/>
    <col min="7" max="7" width="15.86328125" style="5" bestFit="1" customWidth="1"/>
    <col min="8" max="8" width="18.73046875" style="5" bestFit="1" customWidth="1"/>
    <col min="9" max="9" width="100.1328125" style="5" customWidth="1"/>
    <col min="10" max="16384" width="9.1328125" style="5"/>
  </cols>
  <sheetData>
    <row r="1" spans="1:11" x14ac:dyDescent="0.4">
      <c r="A1" s="20" t="s">
        <v>182</v>
      </c>
      <c r="B1" s="20" t="s">
        <v>183</v>
      </c>
      <c r="C1" s="20" t="s">
        <v>181</v>
      </c>
      <c r="D1" s="20" t="s">
        <v>184</v>
      </c>
      <c r="E1" s="20" t="s">
        <v>185</v>
      </c>
      <c r="F1" s="20" t="s">
        <v>186</v>
      </c>
      <c r="G1" s="20" t="s">
        <v>187</v>
      </c>
      <c r="H1" s="20" t="s">
        <v>188</v>
      </c>
    </row>
    <row r="2" spans="1:11" x14ac:dyDescent="0.4">
      <c r="A2" s="5" t="s">
        <v>245</v>
      </c>
      <c r="B2" s="5" t="s">
        <v>206</v>
      </c>
      <c r="C2" s="5" t="s">
        <v>206</v>
      </c>
      <c r="D2" s="5" t="s">
        <v>242</v>
      </c>
      <c r="E2" s="5" t="s">
        <v>206</v>
      </c>
      <c r="F2" s="5" t="s">
        <v>241</v>
      </c>
      <c r="G2" s="5" t="s">
        <v>206</v>
      </c>
      <c r="H2" s="5" t="s">
        <v>241</v>
      </c>
    </row>
    <row r="3" spans="1:11" x14ac:dyDescent="0.4">
      <c r="A3" s="5" t="s">
        <v>246</v>
      </c>
      <c r="B3" s="5" t="s">
        <v>207</v>
      </c>
      <c r="C3" s="5" t="s">
        <v>249</v>
      </c>
      <c r="D3" s="5" t="s">
        <v>204</v>
      </c>
      <c r="E3" s="5" t="s">
        <v>249</v>
      </c>
      <c r="F3" s="5" t="s">
        <v>240</v>
      </c>
      <c r="G3" s="5" t="s">
        <v>249</v>
      </c>
      <c r="H3" s="5" t="s">
        <v>240</v>
      </c>
    </row>
    <row r="4" spans="1:11" x14ac:dyDescent="0.4">
      <c r="A4" s="5" t="s">
        <v>246</v>
      </c>
      <c r="B4" s="5" t="s">
        <v>208</v>
      </c>
      <c r="C4" s="5" t="s">
        <v>245</v>
      </c>
      <c r="D4" s="5" t="s">
        <v>204</v>
      </c>
      <c r="E4" s="5" t="s">
        <v>245</v>
      </c>
      <c r="F4" s="5" t="s">
        <v>205</v>
      </c>
      <c r="G4" s="5" t="s">
        <v>245</v>
      </c>
      <c r="H4" s="5" t="s">
        <v>205</v>
      </c>
    </row>
    <row r="5" spans="1:11" x14ac:dyDescent="0.4">
      <c r="A5" s="5" t="s">
        <v>246</v>
      </c>
      <c r="B5" s="5" t="s">
        <v>212</v>
      </c>
      <c r="C5" s="5" t="s">
        <v>247</v>
      </c>
      <c r="D5" s="5" t="s">
        <v>204</v>
      </c>
      <c r="E5" s="5" t="s">
        <v>247</v>
      </c>
      <c r="F5" s="5" t="s">
        <v>222</v>
      </c>
      <c r="G5" s="5" t="s">
        <v>247</v>
      </c>
      <c r="H5" s="5" t="s">
        <v>222</v>
      </c>
    </row>
    <row r="6" spans="1:11" x14ac:dyDescent="0.4">
      <c r="A6" s="5" t="s">
        <v>246</v>
      </c>
      <c r="B6" s="5" t="s">
        <v>214</v>
      </c>
      <c r="C6" s="5" t="s">
        <v>243</v>
      </c>
      <c r="D6" s="5" t="s">
        <v>204</v>
      </c>
      <c r="E6" s="5" t="s">
        <v>243</v>
      </c>
      <c r="F6" s="5" t="s">
        <v>243</v>
      </c>
      <c r="G6" s="5" t="s">
        <v>243</v>
      </c>
      <c r="H6" s="5" t="s">
        <v>243</v>
      </c>
    </row>
    <row r="7" spans="1:11" x14ac:dyDescent="0.4">
      <c r="A7" s="5" t="s">
        <v>246</v>
      </c>
      <c r="B7" s="5" t="s">
        <v>215</v>
      </c>
      <c r="C7" s="5" t="s">
        <v>248</v>
      </c>
      <c r="D7" s="5" t="s">
        <v>204</v>
      </c>
      <c r="E7" s="5" t="s">
        <v>248</v>
      </c>
      <c r="F7" s="5" t="s">
        <v>223</v>
      </c>
      <c r="G7" s="5" t="s">
        <v>248</v>
      </c>
      <c r="H7" s="5" t="s">
        <v>223</v>
      </c>
    </row>
    <row r="8" spans="1:11" x14ac:dyDescent="0.4">
      <c r="A8" s="5" t="s">
        <v>246</v>
      </c>
      <c r="B8" s="5" t="s">
        <v>217</v>
      </c>
      <c r="C8" s="5" t="s">
        <v>217</v>
      </c>
      <c r="D8" s="5" t="s">
        <v>204</v>
      </c>
      <c r="E8" s="5" t="s">
        <v>217</v>
      </c>
      <c r="F8" s="5" t="s">
        <v>217</v>
      </c>
      <c r="G8" s="5" t="s">
        <v>217</v>
      </c>
      <c r="H8" s="5" t="s">
        <v>217</v>
      </c>
    </row>
    <row r="9" spans="1:11" x14ac:dyDescent="0.4">
      <c r="A9" s="5" t="s">
        <v>246</v>
      </c>
      <c r="B9" s="5" t="s">
        <v>218</v>
      </c>
      <c r="C9" s="5" t="s">
        <v>250</v>
      </c>
      <c r="D9" s="5" t="s">
        <v>204</v>
      </c>
      <c r="E9" s="5" t="s">
        <v>250</v>
      </c>
      <c r="F9" s="5" t="s">
        <v>218</v>
      </c>
      <c r="G9" s="5" t="s">
        <v>250</v>
      </c>
      <c r="H9" s="5" t="s">
        <v>218</v>
      </c>
    </row>
    <row r="10" spans="1:11" x14ac:dyDescent="0.4">
      <c r="A10" s="5" t="s">
        <v>246</v>
      </c>
      <c r="B10" s="5" t="s">
        <v>219</v>
      </c>
      <c r="C10" s="5" t="s">
        <v>219</v>
      </c>
      <c r="D10" s="5" t="s">
        <v>204</v>
      </c>
      <c r="E10" s="5" t="s">
        <v>219</v>
      </c>
      <c r="F10" s="5" t="s">
        <v>244</v>
      </c>
      <c r="G10" s="5" t="s">
        <v>219</v>
      </c>
      <c r="H10" s="5" t="s">
        <v>244</v>
      </c>
    </row>
    <row r="11" spans="1:11" x14ac:dyDescent="0.4">
      <c r="A11" s="5" t="s">
        <v>246</v>
      </c>
      <c r="B11" s="5" t="s">
        <v>220</v>
      </c>
      <c r="C11" s="5" t="s">
        <v>251</v>
      </c>
      <c r="D11" s="5" t="s">
        <v>204</v>
      </c>
      <c r="E11" s="5" t="s">
        <v>251</v>
      </c>
      <c r="F11" s="5" t="s">
        <v>253</v>
      </c>
      <c r="G11" s="5" t="s">
        <v>251</v>
      </c>
      <c r="H11" s="5" t="s">
        <v>253</v>
      </c>
    </row>
    <row r="12" spans="1:11" x14ac:dyDescent="0.4">
      <c r="A12" s="5" t="s">
        <v>249</v>
      </c>
      <c r="B12" s="5" t="s">
        <v>205</v>
      </c>
      <c r="C12" s="5" t="s">
        <v>252</v>
      </c>
      <c r="D12" s="5" t="s">
        <v>205</v>
      </c>
      <c r="G12" s="5" t="s">
        <v>252</v>
      </c>
      <c r="H12" s="5" t="s">
        <v>205</v>
      </c>
    </row>
    <row r="16" spans="1:11" x14ac:dyDescent="0.4">
      <c r="A16" s="20" t="s">
        <v>182</v>
      </c>
      <c r="B16" s="20" t="s">
        <v>183</v>
      </c>
      <c r="C16" s="20" t="s">
        <v>181</v>
      </c>
      <c r="D16" s="20" t="s">
        <v>184</v>
      </c>
      <c r="E16" s="20" t="s">
        <v>185</v>
      </c>
      <c r="F16" s="20" t="s">
        <v>186</v>
      </c>
      <c r="G16" s="20" t="s">
        <v>187</v>
      </c>
      <c r="H16" s="20" t="s">
        <v>188</v>
      </c>
      <c r="I16" s="19" t="s">
        <v>189</v>
      </c>
      <c r="J16" s="5" t="s">
        <v>190</v>
      </c>
      <c r="K16" s="5" t="s">
        <v>191</v>
      </c>
    </row>
    <row r="17" spans="1:11" x14ac:dyDescent="0.4">
      <c r="A17" s="5" t="str">
        <f t="shared" ref="A17:A27" si="0">VLOOKUP(A2,table_mappings,2)</f>
        <v>communities</v>
      </c>
      <c r="B17" s="5" t="str">
        <f ca="1">VLOOKUP(B2,OFFSET(INDIRECT(A17),0,2),2,FALSE)</f>
        <v>parish_id</v>
      </c>
      <c r="C17" s="22" t="str">
        <f>VLOOKUP(C2,table_mappings,2,FALSE)</f>
        <v>parishes</v>
      </c>
      <c r="D17" s="5" t="str">
        <f ca="1">VLOOKUP(D2,OFFSET(INDIRECT(C17),0,2),2,FALSE)</f>
        <v>parish_id</v>
      </c>
      <c r="E17" s="22" t="str">
        <f t="shared" ref="E17:E27" si="1">VLOOKUP(E2,table_mappings,2,FALSE)</f>
        <v>parishes</v>
      </c>
      <c r="F17" s="5" t="str">
        <f ca="1">VLOOKUP(F2,OFFSET(INDIRECT(E17),0,2),2,FALSE)</f>
        <v>parish</v>
      </c>
      <c r="G17" s="5" t="str">
        <f t="shared" ref="G17:G27" si="2">VLOOKUP(G2,table_mappings,2,FALSE)</f>
        <v>parishes</v>
      </c>
      <c r="H17" s="5" t="str">
        <f ca="1">VLOOKUP(H2,OFFSET(INDIRECT(G17),0,2),2,FALSE)</f>
        <v>parish</v>
      </c>
      <c r="I17" s="19" t="str">
        <f ca="1">_xlfn.CONCAT("SELECT [",G17,"].[",D17,"], [",G17,"].[",F17, "] FROM [",G17,"] ORDER BY [",H17,"]")</f>
        <v>SELECT [parishes].[parish_id], [parishes].[parish] FROM [parishes] ORDER BY [parish]</v>
      </c>
      <c r="J17" s="19" t="b">
        <f>OR(C17&lt;&gt; G17, E17&lt;&gt;G17)</f>
        <v>0</v>
      </c>
      <c r="K17" s="5" t="b">
        <f ca="1">B17&lt;&gt;D17</f>
        <v>0</v>
      </c>
    </row>
    <row r="18" spans="1:11" x14ac:dyDescent="0.4">
      <c r="A18" s="5" t="str">
        <f t="shared" si="0"/>
        <v>entries</v>
      </c>
      <c r="B18" s="5" t="str">
        <f t="shared" ref="B18:B27" ca="1" si="3">VLOOKUP(B3,OFFSET(INDIRECT(A18),0,2),2,FALSE)</f>
        <v>actor_id</v>
      </c>
      <c r="C18" s="22" t="str">
        <f t="shared" ref="C18:C27" si="4">VLOOKUP(C3,table_mappings,2,FALSE)</f>
        <v>persons</v>
      </c>
      <c r="D18" s="5" t="str">
        <f t="shared" ref="D18:D27" ca="1" si="5">VLOOKUP(D3,OFFSET(INDIRECT(C18),0,2),2,FALSE)</f>
        <v>person_id</v>
      </c>
      <c r="E18" s="22" t="str">
        <f t="shared" si="1"/>
        <v>persons</v>
      </c>
      <c r="F18" s="5" t="str">
        <f t="shared" ref="F18:F27" ca="1" si="6">VLOOKUP(F3,OFFSET(INDIRECT(E18),0,2),2,FALSE)</f>
        <v>full_name</v>
      </c>
      <c r="G18" s="5" t="str">
        <f t="shared" si="2"/>
        <v>persons</v>
      </c>
      <c r="H18" s="5" t="str">
        <f t="shared" ref="H18:H27" ca="1" si="7">VLOOKUP(H3,OFFSET(INDIRECT(G18),0,2),2,FALSE)</f>
        <v>full_name</v>
      </c>
      <c r="I18" s="19" t="str">
        <f t="shared" ref="I18:I25" ca="1" si="8">_xlfn.CONCAT("SELECT [",G18,"].[",D18,"], [",G18,"].[",F18, "] FROM [",G18,"] ORDER BY [",H18,"]")</f>
        <v>SELECT [persons].[person_id], [persons].[full_name] FROM [persons] ORDER BY [full_name]</v>
      </c>
      <c r="J18" s="19" t="b">
        <f t="shared" ref="J18:J25" si="9">OR(C18&lt;&gt; G18, E18&lt;&gt;G18)</f>
        <v>0</v>
      </c>
      <c r="K18" s="5" t="b">
        <f t="shared" ref="K18:K25" ca="1" si="10">B18&lt;&gt;D18</f>
        <v>1</v>
      </c>
    </row>
    <row r="19" spans="1:11" x14ac:dyDescent="0.4">
      <c r="A19" s="5" t="str">
        <f t="shared" si="0"/>
        <v>entries</v>
      </c>
      <c r="B19" s="5" t="str">
        <f t="shared" ca="1" si="3"/>
        <v>community_id</v>
      </c>
      <c r="C19" s="22" t="str">
        <f t="shared" si="4"/>
        <v>communities</v>
      </c>
      <c r="D19" s="5" t="str">
        <f t="shared" ca="1" si="5"/>
        <v>community_id</v>
      </c>
      <c r="E19" s="22" t="str">
        <f t="shared" si="1"/>
        <v>communities</v>
      </c>
      <c r="F19" s="5" t="str">
        <f t="shared" ca="1" si="6"/>
        <v>community_name</v>
      </c>
      <c r="G19" s="5" t="str">
        <f t="shared" si="2"/>
        <v>communities</v>
      </c>
      <c r="H19" s="5" t="str">
        <f t="shared" ca="1" si="7"/>
        <v>community_name</v>
      </c>
      <c r="I19" s="19" t="str">
        <f t="shared" ca="1" si="8"/>
        <v>SELECT [communities].[community_id], [communities].[community_name] FROM [communities] ORDER BY [community_name]</v>
      </c>
      <c r="J19" s="19" t="b">
        <f t="shared" si="9"/>
        <v>0</v>
      </c>
      <c r="K19" s="5" t="b">
        <f t="shared" ca="1" si="10"/>
        <v>0</v>
      </c>
    </row>
    <row r="20" spans="1:11" x14ac:dyDescent="0.4">
      <c r="A20" s="5" t="str">
        <f t="shared" si="0"/>
        <v>entries</v>
      </c>
      <c r="B20" s="5" t="str">
        <f t="shared" ca="1" si="3"/>
        <v>source_id</v>
      </c>
      <c r="C20" s="22" t="str">
        <f t="shared" si="4"/>
        <v>sources</v>
      </c>
      <c r="D20" s="5" t="str">
        <f t="shared" ca="1" si="5"/>
        <v>source_id</v>
      </c>
      <c r="E20" s="22" t="str">
        <f t="shared" si="1"/>
        <v>sources</v>
      </c>
      <c r="F20" s="5" t="str">
        <f t="shared" ca="1" si="6"/>
        <v>source_abbreviation</v>
      </c>
      <c r="G20" s="5" t="str">
        <f t="shared" si="2"/>
        <v>sources</v>
      </c>
      <c r="H20" s="5" t="str">
        <f t="shared" ca="1" si="7"/>
        <v>source_abbreviation</v>
      </c>
      <c r="I20" s="19" t="str">
        <f t="shared" ca="1" si="8"/>
        <v>SELECT [sources].[source_id], [sources].[source_abbreviation] FROM [sources] ORDER BY [source_abbreviation]</v>
      </c>
      <c r="J20" s="19" t="b">
        <f t="shared" si="9"/>
        <v>0</v>
      </c>
      <c r="K20" s="5" t="b">
        <f t="shared" ca="1" si="10"/>
        <v>0</v>
      </c>
    </row>
    <row r="21" spans="1:11" x14ac:dyDescent="0.4">
      <c r="A21" s="5" t="str">
        <f t="shared" si="0"/>
        <v>entries</v>
      </c>
      <c r="B21" s="5" t="str">
        <f t="shared" ca="1" si="3"/>
        <v>season_id</v>
      </c>
      <c r="C21" s="22" t="str">
        <f t="shared" si="4"/>
        <v>seasons</v>
      </c>
      <c r="D21" s="5" t="str">
        <f t="shared" ca="1" si="5"/>
        <v>season_id</v>
      </c>
      <c r="E21" s="22" t="str">
        <f t="shared" si="1"/>
        <v>seasons</v>
      </c>
      <c r="F21" s="5" t="str">
        <f t="shared" ca="1" si="6"/>
        <v>season_name</v>
      </c>
      <c r="G21" s="5" t="str">
        <f t="shared" si="2"/>
        <v>seasons</v>
      </c>
      <c r="H21" s="5" t="str">
        <f t="shared" ca="1" si="7"/>
        <v>season_name</v>
      </c>
      <c r="I21" s="19" t="str">
        <f t="shared" ca="1" si="8"/>
        <v>SELECT [seasons].[season_id], [seasons].[season_name] FROM [seasons] ORDER BY [season_name]</v>
      </c>
      <c r="J21" s="19" t="b">
        <f t="shared" si="9"/>
        <v>0</v>
      </c>
      <c r="K21" s="5" t="b">
        <f t="shared" ca="1" si="10"/>
        <v>0</v>
      </c>
    </row>
    <row r="22" spans="1:11" x14ac:dyDescent="0.4">
      <c r="A22" s="5" t="str">
        <f t="shared" si="0"/>
        <v>entries</v>
      </c>
      <c r="B22" s="5" t="str">
        <f t="shared" ca="1" si="3"/>
        <v>land_use_id</v>
      </c>
      <c r="C22" s="22" t="str">
        <f t="shared" si="4"/>
        <v>land_use</v>
      </c>
      <c r="D22" s="5" t="str">
        <f t="shared" ca="1" si="5"/>
        <v>land_use_id</v>
      </c>
      <c r="E22" s="22" t="str">
        <f t="shared" si="1"/>
        <v>land_use</v>
      </c>
      <c r="F22" s="5" t="str">
        <f t="shared" ca="1" si="6"/>
        <v>type</v>
      </c>
      <c r="G22" s="5" t="str">
        <f t="shared" si="2"/>
        <v>land_use</v>
      </c>
      <c r="H22" s="5" t="str">
        <f t="shared" ca="1" si="7"/>
        <v>type</v>
      </c>
      <c r="I22" s="19" t="str">
        <f t="shared" ca="1" si="8"/>
        <v>SELECT [land_use].[land_use_id], [land_use].[type] FROM [land_use] ORDER BY [type]</v>
      </c>
      <c r="J22" s="19" t="b">
        <f t="shared" si="9"/>
        <v>0</v>
      </c>
      <c r="K22" s="5" t="b">
        <f t="shared" ca="1" si="10"/>
        <v>0</v>
      </c>
    </row>
    <row r="23" spans="1:11" x14ac:dyDescent="0.4">
      <c r="A23" s="5" t="str">
        <f t="shared" si="0"/>
        <v>entries</v>
      </c>
      <c r="B23" s="5" t="str">
        <f t="shared" ca="1" si="3"/>
        <v>winner_id</v>
      </c>
      <c r="C23" s="22" t="str">
        <f t="shared" si="4"/>
        <v>winners</v>
      </c>
      <c r="D23" s="5" t="str">
        <f t="shared" ca="1" si="5"/>
        <v>winner_id</v>
      </c>
      <c r="E23" s="22" t="str">
        <f t="shared" si="1"/>
        <v>winners</v>
      </c>
      <c r="F23" s="5" t="str">
        <f t="shared" ca="1" si="6"/>
        <v>winner_description</v>
      </c>
      <c r="G23" s="5" t="str">
        <f t="shared" si="2"/>
        <v>winners</v>
      </c>
      <c r="H23" s="5" t="str">
        <f ca="1">VLOOKUP(H8,OFFSET(INDIRECT(G23),0,2),2,FALSE)</f>
        <v>winner_description</v>
      </c>
      <c r="I23" s="19" t="str">
        <f t="shared" ca="1" si="8"/>
        <v>SELECT [winners].[winner_id], [winners].[winner_description] FROM [winners] ORDER BY [winner_description]</v>
      </c>
      <c r="J23" s="19" t="b">
        <f t="shared" si="9"/>
        <v>0</v>
      </c>
      <c r="K23" s="5" t="b">
        <f t="shared" ca="1" si="10"/>
        <v>0</v>
      </c>
    </row>
    <row r="24" spans="1:11" x14ac:dyDescent="0.4">
      <c r="A24" s="5" t="str">
        <f t="shared" si="0"/>
        <v>entries</v>
      </c>
      <c r="B24" s="5" t="str">
        <f t="shared" ca="1" si="3"/>
        <v>legal_source_id</v>
      </c>
      <c r="C24" s="22" t="str">
        <f t="shared" si="4"/>
        <v>legal_sources</v>
      </c>
      <c r="D24" s="5" t="str">
        <f t="shared" ca="1" si="5"/>
        <v>legal_source_id</v>
      </c>
      <c r="E24" s="22" t="str">
        <f t="shared" si="1"/>
        <v>legal_sources</v>
      </c>
      <c r="F24" s="5" t="str">
        <f t="shared" ca="1" si="6"/>
        <v>legal_source_name</v>
      </c>
      <c r="G24" s="5" t="str">
        <f t="shared" si="2"/>
        <v>legal_sources</v>
      </c>
      <c r="H24" s="5" t="str">
        <f t="shared" ca="1" si="7"/>
        <v>legal_source_name</v>
      </c>
      <c r="I24" s="19" t="str">
        <f t="shared" ca="1" si="8"/>
        <v>SELECT [legal_sources].[legal_source_id], [legal_sources].[legal_source_name] FROM [legal_sources] ORDER BY [legal_source_name]</v>
      </c>
      <c r="J24" s="19" t="b">
        <f t="shared" si="9"/>
        <v>0</v>
      </c>
      <c r="K24" s="5" t="b">
        <f t="shared" ca="1" si="10"/>
        <v>0</v>
      </c>
    </row>
    <row r="25" spans="1:11" x14ac:dyDescent="0.4">
      <c r="A25" s="5" t="str">
        <f t="shared" si="0"/>
        <v>entries</v>
      </c>
      <c r="B25" s="5" t="str">
        <f t="shared" ca="1" si="3"/>
        <v>judgement_id</v>
      </c>
      <c r="C25" s="22" t="str">
        <f t="shared" si="4"/>
        <v>judgements</v>
      </c>
      <c r="D25" s="5" t="str">
        <f t="shared" ca="1" si="5"/>
        <v>judgement_id</v>
      </c>
      <c r="E25" s="22" t="str">
        <f t="shared" si="1"/>
        <v>judgements</v>
      </c>
      <c r="F25" s="5" t="str">
        <f t="shared" ca="1" si="6"/>
        <v>sanction</v>
      </c>
      <c r="G25" s="5" t="str">
        <f t="shared" si="2"/>
        <v>judgements</v>
      </c>
      <c r="H25" s="5" t="str">
        <f t="shared" ca="1" si="7"/>
        <v>sanction</v>
      </c>
      <c r="I25" s="19" t="str">
        <f t="shared" ca="1" si="8"/>
        <v>SELECT [judgements].[judgement_id], [judgements].[sanction] FROM [judgements] ORDER BY [sanction]</v>
      </c>
      <c r="J25" s="19" t="b">
        <f t="shared" si="9"/>
        <v>0</v>
      </c>
      <c r="K25" s="5" t="b">
        <f t="shared" ca="1" si="10"/>
        <v>0</v>
      </c>
    </row>
    <row r="26" spans="1:11" x14ac:dyDescent="0.4">
      <c r="A26" s="5" t="str">
        <f t="shared" si="0"/>
        <v>entries</v>
      </c>
      <c r="B26" s="5" t="str">
        <f t="shared" ca="1" si="3"/>
        <v>placename_id</v>
      </c>
      <c r="C26" s="23" t="e">
        <f t="shared" si="4"/>
        <v>#N/A</v>
      </c>
      <c r="D26" s="23" t="e">
        <f t="shared" ca="1" si="5"/>
        <v>#N/A</v>
      </c>
      <c r="E26" s="23" t="e">
        <f t="shared" si="1"/>
        <v>#N/A</v>
      </c>
      <c r="F26" s="23" t="e">
        <f ca="1">VLOOKUP(F11,OFFSET(INDIRECT(E26),0,2),2,FALSE)</f>
        <v>#N/A</v>
      </c>
      <c r="G26" s="23" t="e">
        <f t="shared" si="2"/>
        <v>#N/A</v>
      </c>
      <c r="H26" s="23" t="e">
        <f t="shared" ca="1" si="7"/>
        <v>#N/A</v>
      </c>
      <c r="I26" s="5" t="s">
        <v>202</v>
      </c>
    </row>
    <row r="27" spans="1:11" x14ac:dyDescent="0.4">
      <c r="A27" s="5" t="str">
        <f t="shared" si="0"/>
        <v>persons</v>
      </c>
      <c r="B27" s="5" t="str">
        <f t="shared" ca="1" si="3"/>
        <v>community_name</v>
      </c>
      <c r="C27" s="23" t="e">
        <f t="shared" si="4"/>
        <v>#N/A</v>
      </c>
      <c r="D27" s="23" t="e">
        <f t="shared" ca="1" si="5"/>
        <v>#N/A</v>
      </c>
      <c r="E27" s="23" t="e">
        <f t="shared" si="1"/>
        <v>#N/A</v>
      </c>
      <c r="F27" s="23" t="e">
        <f t="shared" ca="1" si="6"/>
        <v>#N/A</v>
      </c>
      <c r="G27" s="23" t="e">
        <f t="shared" si="2"/>
        <v>#N/A</v>
      </c>
      <c r="H27" s="23" t="e">
        <f t="shared" ca="1" si="7"/>
        <v>#N/A</v>
      </c>
      <c r="I27" s="26" t="s">
        <v>201</v>
      </c>
    </row>
    <row r="30" spans="1:11" x14ac:dyDescent="0.4">
      <c r="A30" s="28" t="s">
        <v>166</v>
      </c>
      <c r="B30" s="28" t="s">
        <v>2</v>
      </c>
      <c r="C30" s="28" t="s">
        <v>182</v>
      </c>
      <c r="D30" s="28" t="s">
        <v>183</v>
      </c>
      <c r="E30" s="28" t="s">
        <v>189</v>
      </c>
    </row>
    <row r="31" spans="1:11" x14ac:dyDescent="0.4">
      <c r="A31" s="27" t="str">
        <f t="shared" ref="A31:B41" si="11">A2</f>
        <v>[Byar]</v>
      </c>
      <c r="B31" s="27" t="str">
        <f t="shared" si="11"/>
        <v>[Socken]</v>
      </c>
      <c r="C31" s="27" t="str">
        <f t="shared" ref="C31:C41" si="12">A17</f>
        <v>communities</v>
      </c>
      <c r="D31" s="27" t="str">
        <f t="shared" ref="D31:D41" ca="1" si="13">B17</f>
        <v>parish_id</v>
      </c>
      <c r="E31" s="27" t="str">
        <f ca="1">I17</f>
        <v>SELECT [parishes].[parish_id], [parishes].[parish] FROM [parishes] ORDER BY [parish]</v>
      </c>
    </row>
    <row r="32" spans="1:11" x14ac:dyDescent="0.4">
      <c r="A32" s="27" t="str">
        <f t="shared" si="11"/>
        <v>[Entries]</v>
      </c>
      <c r="B32" s="27" t="str">
        <f t="shared" si="11"/>
        <v>[Aktör]</v>
      </c>
      <c r="C32" s="27" t="str">
        <f t="shared" si="12"/>
        <v>entries</v>
      </c>
      <c r="D32" s="27" t="str">
        <f t="shared" ca="1" si="13"/>
        <v>actor_id</v>
      </c>
      <c r="E32" s="27" t="str">
        <f t="shared" ref="E32:E41" ca="1" si="14">I18</f>
        <v>SELECT [persons].[person_id], [persons].[full_name] FROM [persons] ORDER BY [full_name]</v>
      </c>
    </row>
    <row r="33" spans="1:5" x14ac:dyDescent="0.4">
      <c r="A33" s="27" t="str">
        <f t="shared" si="11"/>
        <v>[Entries]</v>
      </c>
      <c r="B33" s="27" t="str">
        <f t="shared" si="11"/>
        <v>[By]</v>
      </c>
      <c r="C33" s="27" t="str">
        <f t="shared" si="12"/>
        <v>entries</v>
      </c>
      <c r="D33" s="27" t="str">
        <f t="shared" ca="1" si="13"/>
        <v>community_id</v>
      </c>
      <c r="E33" s="27" t="str">
        <f t="shared" ca="1" si="14"/>
        <v>SELECT [communities].[community_id], [communities].[community_name] FROM [communities] ORDER BY [community_name]</v>
      </c>
    </row>
    <row r="34" spans="1:5" x14ac:dyDescent="0.4">
      <c r="A34" s="27" t="str">
        <f t="shared" si="11"/>
        <v>[Entries]</v>
      </c>
      <c r="B34" s="27" t="str">
        <f t="shared" si="11"/>
        <v>[Källa]</v>
      </c>
      <c r="C34" s="27" t="str">
        <f t="shared" si="12"/>
        <v>entries</v>
      </c>
      <c r="D34" s="27" t="str">
        <f t="shared" ca="1" si="13"/>
        <v>source_id</v>
      </c>
      <c r="E34" s="27" t="str">
        <f t="shared" ca="1" si="14"/>
        <v>SELECT [sources].[source_id], [sources].[source_abbreviation] FROM [sources] ORDER BY [source_abbreviation]</v>
      </c>
    </row>
    <row r="35" spans="1:5" x14ac:dyDescent="0.4">
      <c r="A35" s="27" t="str">
        <f t="shared" si="11"/>
        <v>[Entries]</v>
      </c>
      <c r="B35" s="27" t="str">
        <f t="shared" si="11"/>
        <v>[Årstid2]</v>
      </c>
      <c r="C35" s="27" t="str">
        <f t="shared" si="12"/>
        <v>entries</v>
      </c>
      <c r="D35" s="27" t="str">
        <f t="shared" ca="1" si="13"/>
        <v>season_id</v>
      </c>
      <c r="E35" s="27" t="str">
        <f t="shared" ca="1" si="14"/>
        <v>SELECT [seasons].[season_id], [seasons].[season_name] FROM [seasons] ORDER BY [season_name]</v>
      </c>
    </row>
    <row r="36" spans="1:5" x14ac:dyDescent="0.4">
      <c r="A36" s="27" t="str">
        <f t="shared" si="11"/>
        <v>[Entries]</v>
      </c>
      <c r="B36" s="27" t="str">
        <f t="shared" si="11"/>
        <v>[Resurs]</v>
      </c>
      <c r="C36" s="27" t="str">
        <f t="shared" si="12"/>
        <v>entries</v>
      </c>
      <c r="D36" s="27" t="str">
        <f t="shared" ca="1" si="13"/>
        <v>land_use_id</v>
      </c>
      <c r="E36" s="27" t="str">
        <f t="shared" ca="1" si="14"/>
        <v>SELECT [land_use].[land_use_id], [land_use].[type] FROM [land_use] ORDER BY [type]</v>
      </c>
    </row>
    <row r="37" spans="1:5" x14ac:dyDescent="0.4">
      <c r="A37" s="27" t="str">
        <f t="shared" si="11"/>
        <v>[Entries]</v>
      </c>
      <c r="B37" s="27" t="str">
        <f t="shared" si="11"/>
        <v>[Vinnare]</v>
      </c>
      <c r="C37" s="27" t="str">
        <f t="shared" si="12"/>
        <v>entries</v>
      </c>
      <c r="D37" s="27" t="str">
        <f t="shared" ca="1" si="13"/>
        <v>winner_id</v>
      </c>
      <c r="E37" s="27" t="str">
        <f t="shared" ca="1" si="14"/>
        <v>SELECT [winners].[winner_id], [winners].[winner_description] FROM [winners] ORDER BY [winner_description]</v>
      </c>
    </row>
    <row r="38" spans="1:5" x14ac:dyDescent="0.4">
      <c r="A38" s="27" t="str">
        <f t="shared" si="11"/>
        <v>[Entries]</v>
      </c>
      <c r="B38" s="27" t="str">
        <f t="shared" si="11"/>
        <v>[Rättskälla]</v>
      </c>
      <c r="C38" s="27" t="str">
        <f t="shared" si="12"/>
        <v>entries</v>
      </c>
      <c r="D38" s="27" t="str">
        <f t="shared" ca="1" si="13"/>
        <v>legal_source_id</v>
      </c>
      <c r="E38" s="27" t="str">
        <f t="shared" ca="1" si="14"/>
        <v>SELECT [legal_sources].[legal_source_id], [legal_sources].[legal_source_name] FROM [legal_sources] ORDER BY [legal_source_name]</v>
      </c>
    </row>
    <row r="39" spans="1:5" x14ac:dyDescent="0.4">
      <c r="A39" s="27" t="str">
        <f t="shared" si="11"/>
        <v>[Entries]</v>
      </c>
      <c r="B39" s="27" t="str">
        <f t="shared" si="11"/>
        <v>[Dom]</v>
      </c>
      <c r="C39" s="27" t="str">
        <f t="shared" si="12"/>
        <v>entries</v>
      </c>
      <c r="D39" s="27" t="str">
        <f t="shared" ca="1" si="13"/>
        <v>judgement_id</v>
      </c>
      <c r="E39" s="27" t="str">
        <f t="shared" ca="1" si="14"/>
        <v>SELECT [judgements].[judgement_id], [judgements].[sanction] FROM [judgements] ORDER BY [sanction]</v>
      </c>
    </row>
    <row r="40" spans="1:5" x14ac:dyDescent="0.4">
      <c r="A40" s="27" t="str">
        <f t="shared" si="11"/>
        <v>[Entries]</v>
      </c>
      <c r="B40" s="27" t="str">
        <f t="shared" si="11"/>
        <v>[Ortnamn]</v>
      </c>
      <c r="C40" s="27" t="str">
        <f t="shared" si="12"/>
        <v>entries</v>
      </c>
      <c r="D40" s="27" t="str">
        <f t="shared" ca="1" si="13"/>
        <v>placename_id</v>
      </c>
      <c r="E40" s="27" t="str">
        <f t="shared" si="14"/>
        <v>SELECT [Ortnamn_ny1].[ID], [Ortnamn_ny1].[Kombo] FROM Ortnamn_ny1 ORDER BY [Kombo];</v>
      </c>
    </row>
    <row r="41" spans="1:5" x14ac:dyDescent="0.4">
      <c r="A41" s="27" t="str">
        <f t="shared" si="11"/>
        <v>[Personer]</v>
      </c>
      <c r="B41" s="27" t="str">
        <f t="shared" si="11"/>
        <v>[Bynamn]</v>
      </c>
      <c r="C41" s="27" t="str">
        <f t="shared" si="12"/>
        <v>persons</v>
      </c>
      <c r="D41" s="27" t="str">
        <f t="shared" ca="1" si="13"/>
        <v>community_name</v>
      </c>
      <c r="E41" s="27" t="str">
        <f t="shared" si="14"/>
        <v>SELECT [communities].[community_name] FROM [communities] ORDER BY [community_name];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C792-44BF-4C5C-A9E8-C9CD7AE83411}">
  <dimension ref="A1:H54"/>
  <sheetViews>
    <sheetView workbookViewId="0">
      <selection activeCell="H12" sqref="H12"/>
    </sheetView>
  </sheetViews>
  <sheetFormatPr defaultRowHeight="14.25" x14ac:dyDescent="0.45"/>
  <cols>
    <col min="1" max="1" width="12.86328125" customWidth="1"/>
    <col min="2" max="2" width="9.86328125" customWidth="1"/>
    <col min="3" max="3" width="14.3984375" style="2" customWidth="1"/>
    <col min="4" max="4" width="14.86328125" customWidth="1"/>
    <col min="5" max="5" width="19.265625" bestFit="1" customWidth="1"/>
    <col min="6" max="6" width="27.3984375" style="2" customWidth="1"/>
    <col min="7" max="7" width="74.265625" customWidth="1"/>
    <col min="8" max="8" width="111.1328125" style="2" customWidth="1"/>
  </cols>
  <sheetData>
    <row r="1" spans="1:8" x14ac:dyDescent="0.45">
      <c r="A1" t="s">
        <v>166</v>
      </c>
      <c r="B1" t="s">
        <v>1</v>
      </c>
      <c r="C1" t="s">
        <v>167</v>
      </c>
      <c r="D1" t="s">
        <v>2</v>
      </c>
      <c r="E1" t="s">
        <v>3</v>
      </c>
      <c r="F1" t="s">
        <v>168</v>
      </c>
      <c r="G1" t="s">
        <v>4</v>
      </c>
      <c r="H1" t="s">
        <v>169</v>
      </c>
    </row>
    <row r="2" spans="1:8" x14ac:dyDescent="0.45">
      <c r="A2" t="s">
        <v>5</v>
      </c>
      <c r="B2" t="s">
        <v>6</v>
      </c>
      <c r="C2" s="2" t="s">
        <v>159</v>
      </c>
      <c r="D2" t="s">
        <v>0</v>
      </c>
      <c r="E2" t="s">
        <v>7</v>
      </c>
      <c r="F2" s="2" t="s">
        <v>160</v>
      </c>
      <c r="G2" t="s">
        <v>8</v>
      </c>
      <c r="H2" s="2" t="s">
        <v>163</v>
      </c>
    </row>
    <row r="3" spans="1:8" x14ac:dyDescent="0.45">
      <c r="A3" t="s">
        <v>5</v>
      </c>
      <c r="B3" t="s">
        <v>6</v>
      </c>
      <c r="C3" s="2" t="s">
        <v>159</v>
      </c>
      <c r="D3" t="s">
        <v>9</v>
      </c>
      <c r="E3" t="s">
        <v>10</v>
      </c>
      <c r="F3" s="2" t="s">
        <v>161</v>
      </c>
      <c r="G3" t="s">
        <v>11</v>
      </c>
      <c r="H3" s="2" t="s">
        <v>164</v>
      </c>
    </row>
    <row r="4" spans="1:8" x14ac:dyDescent="0.45">
      <c r="A4" t="s">
        <v>5</v>
      </c>
      <c r="B4" t="s">
        <v>6</v>
      </c>
      <c r="C4" s="2" t="s">
        <v>159</v>
      </c>
      <c r="D4" t="s">
        <v>12</v>
      </c>
      <c r="E4" t="s">
        <v>13</v>
      </c>
      <c r="F4" s="2" t="s">
        <v>30</v>
      </c>
      <c r="G4" t="s">
        <v>14</v>
      </c>
      <c r="H4" s="2" t="s">
        <v>165</v>
      </c>
    </row>
    <row r="5" spans="1:8" x14ac:dyDescent="0.45">
      <c r="A5" t="s">
        <v>15</v>
      </c>
      <c r="B5" t="s">
        <v>16</v>
      </c>
      <c r="C5" s="2" t="s">
        <v>30</v>
      </c>
      <c r="D5" t="s">
        <v>0</v>
      </c>
      <c r="E5" t="s">
        <v>17</v>
      </c>
      <c r="F5" s="2" t="s">
        <v>30</v>
      </c>
      <c r="G5" t="s">
        <v>18</v>
      </c>
      <c r="H5" s="2" t="s">
        <v>30</v>
      </c>
    </row>
    <row r="6" spans="1:8" x14ac:dyDescent="0.45">
      <c r="A6" t="s">
        <v>15</v>
      </c>
      <c r="B6" t="s">
        <v>16</v>
      </c>
      <c r="C6" s="2" t="s">
        <v>30</v>
      </c>
      <c r="D6" t="s">
        <v>19</v>
      </c>
      <c r="E6" t="s">
        <v>20</v>
      </c>
      <c r="F6" s="2" t="s">
        <v>30</v>
      </c>
      <c r="G6" t="s">
        <v>21</v>
      </c>
      <c r="H6" s="1" t="s">
        <v>170</v>
      </c>
    </row>
    <row r="7" spans="1:8" x14ac:dyDescent="0.45">
      <c r="A7" t="s">
        <v>15</v>
      </c>
      <c r="B7" t="s">
        <v>16</v>
      </c>
      <c r="C7" s="2" t="s">
        <v>30</v>
      </c>
      <c r="D7" t="s">
        <v>22</v>
      </c>
      <c r="E7" t="s">
        <v>7</v>
      </c>
      <c r="F7" s="2" t="s">
        <v>160</v>
      </c>
      <c r="G7" t="s">
        <v>23</v>
      </c>
      <c r="H7" s="2" t="s">
        <v>171</v>
      </c>
    </row>
    <row r="8" spans="1:8" x14ac:dyDescent="0.45">
      <c r="A8" t="s">
        <v>15</v>
      </c>
      <c r="B8" t="s">
        <v>16</v>
      </c>
      <c r="C8" s="2" t="s">
        <v>30</v>
      </c>
      <c r="D8" t="s">
        <v>24</v>
      </c>
      <c r="E8" t="s">
        <v>25</v>
      </c>
      <c r="F8" s="2" t="s">
        <v>30</v>
      </c>
      <c r="G8" t="s">
        <v>26</v>
      </c>
      <c r="H8" s="2" t="s">
        <v>30</v>
      </c>
    </row>
    <row r="9" spans="1:8" x14ac:dyDescent="0.45">
      <c r="A9" t="s">
        <v>15</v>
      </c>
      <c r="B9" t="s">
        <v>16</v>
      </c>
      <c r="C9" s="2" t="s">
        <v>30</v>
      </c>
      <c r="D9" t="s">
        <v>27</v>
      </c>
      <c r="E9" t="s">
        <v>28</v>
      </c>
      <c r="F9" s="2" t="s">
        <v>30</v>
      </c>
      <c r="G9" t="s">
        <v>29</v>
      </c>
      <c r="H9" s="2" t="s">
        <v>172</v>
      </c>
    </row>
    <row r="10" spans="1:8" x14ac:dyDescent="0.45">
      <c r="A10" t="s">
        <v>15</v>
      </c>
      <c r="B10" t="s">
        <v>16</v>
      </c>
      <c r="C10" s="2" t="s">
        <v>30</v>
      </c>
      <c r="D10" t="s">
        <v>30</v>
      </c>
      <c r="E10" t="s">
        <v>31</v>
      </c>
      <c r="F10" s="2" t="s">
        <v>30</v>
      </c>
      <c r="G10" t="s">
        <v>32</v>
      </c>
      <c r="H10" s="2" t="s">
        <v>30</v>
      </c>
    </row>
    <row r="11" spans="1:8" x14ac:dyDescent="0.45">
      <c r="A11" t="s">
        <v>15</v>
      </c>
      <c r="B11" t="s">
        <v>16</v>
      </c>
      <c r="C11" s="2" t="s">
        <v>30</v>
      </c>
      <c r="D11" t="s">
        <v>33</v>
      </c>
      <c r="E11" t="s">
        <v>34</v>
      </c>
      <c r="F11" s="2" t="s">
        <v>30</v>
      </c>
      <c r="G11" t="s">
        <v>35</v>
      </c>
      <c r="H11" s="2" t="s">
        <v>30</v>
      </c>
    </row>
    <row r="12" spans="1:8" x14ac:dyDescent="0.45">
      <c r="A12" t="s">
        <v>15</v>
      </c>
      <c r="B12" t="s">
        <v>16</v>
      </c>
      <c r="C12" s="2" t="s">
        <v>30</v>
      </c>
      <c r="D12" t="s">
        <v>36</v>
      </c>
      <c r="E12" t="s">
        <v>37</v>
      </c>
      <c r="F12" s="2" t="s">
        <v>30</v>
      </c>
      <c r="G12" t="s">
        <v>38</v>
      </c>
      <c r="H12" s="2" t="s">
        <v>30</v>
      </c>
    </row>
    <row r="13" spans="1:8" x14ac:dyDescent="0.45">
      <c r="A13" t="s">
        <v>15</v>
      </c>
      <c r="B13" t="s">
        <v>16</v>
      </c>
      <c r="C13" s="2" t="s">
        <v>30</v>
      </c>
      <c r="D13" t="s">
        <v>39</v>
      </c>
      <c r="E13" t="s">
        <v>40</v>
      </c>
      <c r="F13" s="2" t="s">
        <v>30</v>
      </c>
      <c r="G13" t="s">
        <v>41</v>
      </c>
      <c r="H13" s="2" t="s">
        <v>30</v>
      </c>
    </row>
    <row r="14" spans="1:8" x14ac:dyDescent="0.45">
      <c r="A14" t="s">
        <v>15</v>
      </c>
      <c r="B14" t="s">
        <v>16</v>
      </c>
      <c r="C14" s="2" t="s">
        <v>30</v>
      </c>
      <c r="D14" t="s">
        <v>42</v>
      </c>
      <c r="E14" t="s">
        <v>43</v>
      </c>
      <c r="F14" s="2" t="s">
        <v>30</v>
      </c>
      <c r="G14" t="s">
        <v>44</v>
      </c>
      <c r="H14" s="2" t="s">
        <v>30</v>
      </c>
    </row>
    <row r="15" spans="1:8" x14ac:dyDescent="0.45">
      <c r="A15" t="s">
        <v>15</v>
      </c>
      <c r="B15" t="s">
        <v>16</v>
      </c>
      <c r="C15" s="2" t="s">
        <v>30</v>
      </c>
      <c r="D15" t="s">
        <v>45</v>
      </c>
      <c r="E15" t="s">
        <v>46</v>
      </c>
      <c r="F15" s="2" t="s">
        <v>30</v>
      </c>
      <c r="G15" t="s">
        <v>47</v>
      </c>
      <c r="H15" s="2" t="s">
        <v>30</v>
      </c>
    </row>
    <row r="16" spans="1:8" x14ac:dyDescent="0.45">
      <c r="A16" t="s">
        <v>15</v>
      </c>
      <c r="B16" t="s">
        <v>16</v>
      </c>
      <c r="C16" s="2" t="s">
        <v>30</v>
      </c>
      <c r="D16" t="s">
        <v>48</v>
      </c>
      <c r="E16" t="s">
        <v>49</v>
      </c>
      <c r="F16" s="2" t="s">
        <v>30</v>
      </c>
      <c r="G16" t="s">
        <v>50</v>
      </c>
      <c r="H16" s="2" t="s">
        <v>30</v>
      </c>
    </row>
    <row r="17" spans="1:8" x14ac:dyDescent="0.45">
      <c r="A17" t="s">
        <v>15</v>
      </c>
      <c r="B17" t="s">
        <v>16</v>
      </c>
      <c r="C17" s="2" t="s">
        <v>30</v>
      </c>
      <c r="D17" t="s">
        <v>51</v>
      </c>
      <c r="E17" t="s">
        <v>52</v>
      </c>
      <c r="F17" s="2" t="s">
        <v>30</v>
      </c>
      <c r="G17" t="s">
        <v>53</v>
      </c>
      <c r="H17" s="2" t="s">
        <v>30</v>
      </c>
    </row>
    <row r="18" spans="1:8" x14ac:dyDescent="0.45">
      <c r="A18" t="s">
        <v>15</v>
      </c>
      <c r="B18" t="s">
        <v>16</v>
      </c>
      <c r="C18" s="2" t="s">
        <v>30</v>
      </c>
      <c r="D18" t="s">
        <v>54</v>
      </c>
      <c r="E18" t="s">
        <v>55</v>
      </c>
      <c r="F18" s="2" t="s">
        <v>30</v>
      </c>
      <c r="G18" t="s">
        <v>56</v>
      </c>
      <c r="H18" s="2" t="s">
        <v>30</v>
      </c>
    </row>
    <row r="19" spans="1:8" x14ac:dyDescent="0.45">
      <c r="A19" t="s">
        <v>15</v>
      </c>
      <c r="B19" t="s">
        <v>16</v>
      </c>
      <c r="C19" s="2" t="s">
        <v>30</v>
      </c>
      <c r="D19" t="s">
        <v>57</v>
      </c>
      <c r="E19" t="s">
        <v>58</v>
      </c>
      <c r="F19" s="2" t="s">
        <v>30</v>
      </c>
      <c r="G19" t="s">
        <v>59</v>
      </c>
      <c r="H19" s="2" t="s">
        <v>173</v>
      </c>
    </row>
    <row r="20" spans="1:8" x14ac:dyDescent="0.45">
      <c r="A20" t="s">
        <v>15</v>
      </c>
      <c r="B20" t="s">
        <v>16</v>
      </c>
      <c r="C20" s="2" t="s">
        <v>30</v>
      </c>
      <c r="D20" t="s">
        <v>60</v>
      </c>
      <c r="E20" t="s">
        <v>61</v>
      </c>
      <c r="F20" s="2" t="s">
        <v>30</v>
      </c>
      <c r="G20" t="s">
        <v>62</v>
      </c>
      <c r="H20" s="2" t="s">
        <v>30</v>
      </c>
    </row>
    <row r="21" spans="1:8" x14ac:dyDescent="0.45">
      <c r="A21" t="s">
        <v>63</v>
      </c>
      <c r="B21" t="s">
        <v>64</v>
      </c>
      <c r="C21" s="2" t="s">
        <v>30</v>
      </c>
      <c r="D21" t="s">
        <v>0</v>
      </c>
      <c r="E21" t="s">
        <v>34</v>
      </c>
      <c r="F21" s="2" t="s">
        <v>30</v>
      </c>
      <c r="G21" t="s">
        <v>65</v>
      </c>
      <c r="H21" s="2" t="s">
        <v>30</v>
      </c>
    </row>
    <row r="22" spans="1:8" x14ac:dyDescent="0.45">
      <c r="A22" t="s">
        <v>63</v>
      </c>
      <c r="B22" t="s">
        <v>64</v>
      </c>
      <c r="C22" s="2" t="s">
        <v>30</v>
      </c>
      <c r="D22" t="s">
        <v>33</v>
      </c>
      <c r="E22" t="s">
        <v>66</v>
      </c>
      <c r="F22" s="2" t="s">
        <v>30</v>
      </c>
      <c r="G22" t="s">
        <v>67</v>
      </c>
      <c r="H22" s="2" t="s">
        <v>30</v>
      </c>
    </row>
    <row r="23" spans="1:8" x14ac:dyDescent="0.45">
      <c r="A23" t="s">
        <v>63</v>
      </c>
      <c r="B23" t="s">
        <v>64</v>
      </c>
      <c r="C23" s="2" t="s">
        <v>30</v>
      </c>
      <c r="D23" t="s">
        <v>68</v>
      </c>
      <c r="E23" t="s">
        <v>69</v>
      </c>
      <c r="F23" s="2" t="s">
        <v>30</v>
      </c>
      <c r="G23" t="s">
        <v>70</v>
      </c>
      <c r="H23" s="2" t="s">
        <v>30</v>
      </c>
    </row>
    <row r="24" spans="1:8" x14ac:dyDescent="0.45">
      <c r="A24" t="s">
        <v>71</v>
      </c>
      <c r="B24" t="s">
        <v>72</v>
      </c>
      <c r="C24" s="2" t="s">
        <v>30</v>
      </c>
      <c r="D24" t="s">
        <v>0</v>
      </c>
      <c r="E24" t="s">
        <v>73</v>
      </c>
      <c r="F24" s="2" t="s">
        <v>30</v>
      </c>
      <c r="G24" t="s">
        <v>74</v>
      </c>
      <c r="H24" s="2" t="s">
        <v>30</v>
      </c>
    </row>
    <row r="25" spans="1:8" x14ac:dyDescent="0.45">
      <c r="A25" t="s">
        <v>71</v>
      </c>
      <c r="B25" t="s">
        <v>72</v>
      </c>
      <c r="C25" s="2" t="s">
        <v>30</v>
      </c>
      <c r="D25" t="s">
        <v>75</v>
      </c>
      <c r="E25" t="s">
        <v>76</v>
      </c>
      <c r="F25" s="2" t="s">
        <v>30</v>
      </c>
      <c r="G25" t="s">
        <v>77</v>
      </c>
      <c r="H25" s="2" t="s">
        <v>30</v>
      </c>
    </row>
    <row r="26" spans="1:8" x14ac:dyDescent="0.45">
      <c r="A26" t="s">
        <v>78</v>
      </c>
      <c r="B26" t="s">
        <v>79</v>
      </c>
      <c r="C26" s="2" t="s">
        <v>30</v>
      </c>
      <c r="D26" t="s">
        <v>0</v>
      </c>
      <c r="E26" t="s">
        <v>80</v>
      </c>
      <c r="F26" s="2" t="s">
        <v>30</v>
      </c>
      <c r="G26" t="s">
        <v>81</v>
      </c>
      <c r="H26" s="2" t="s">
        <v>30</v>
      </c>
    </row>
    <row r="27" spans="1:8" x14ac:dyDescent="0.45">
      <c r="A27" t="s">
        <v>78</v>
      </c>
      <c r="B27" t="s">
        <v>79</v>
      </c>
      <c r="C27" s="2" t="s">
        <v>30</v>
      </c>
      <c r="D27" t="s">
        <v>82</v>
      </c>
      <c r="E27" t="s">
        <v>83</v>
      </c>
      <c r="F27" s="2" t="s">
        <v>30</v>
      </c>
      <c r="G27" t="s">
        <v>84</v>
      </c>
      <c r="H27" s="2" t="s">
        <v>174</v>
      </c>
    </row>
    <row r="28" spans="1:8" x14ac:dyDescent="0.45">
      <c r="A28" t="s">
        <v>78</v>
      </c>
      <c r="B28" t="s">
        <v>79</v>
      </c>
      <c r="C28" s="2" t="s">
        <v>30</v>
      </c>
      <c r="D28" t="s">
        <v>85</v>
      </c>
      <c r="E28" t="s">
        <v>86</v>
      </c>
      <c r="F28" s="2" t="s">
        <v>30</v>
      </c>
      <c r="G28" t="s">
        <v>87</v>
      </c>
      <c r="H28" s="2" t="s">
        <v>174</v>
      </c>
    </row>
    <row r="29" spans="1:8" x14ac:dyDescent="0.45">
      <c r="A29" t="s">
        <v>78</v>
      </c>
      <c r="B29" t="s">
        <v>79</v>
      </c>
      <c r="C29" s="2" t="s">
        <v>30</v>
      </c>
      <c r="D29" t="s">
        <v>88</v>
      </c>
      <c r="E29" t="s">
        <v>89</v>
      </c>
      <c r="F29" s="2" t="s">
        <v>30</v>
      </c>
      <c r="G29" t="s">
        <v>90</v>
      </c>
      <c r="H29" s="2" t="s">
        <v>174</v>
      </c>
    </row>
    <row r="30" spans="1:8" x14ac:dyDescent="0.45">
      <c r="A30" t="s">
        <v>78</v>
      </c>
      <c r="B30" t="s">
        <v>79</v>
      </c>
      <c r="C30" s="2" t="s">
        <v>30</v>
      </c>
      <c r="D30" t="s">
        <v>91</v>
      </c>
      <c r="E30" t="s">
        <v>92</v>
      </c>
      <c r="F30" s="2" t="s">
        <v>30</v>
      </c>
      <c r="G30" t="s">
        <v>93</v>
      </c>
      <c r="H30" s="2" t="s">
        <v>30</v>
      </c>
    </row>
    <row r="31" spans="1:8" x14ac:dyDescent="0.45">
      <c r="A31" t="s">
        <v>78</v>
      </c>
      <c r="B31" t="s">
        <v>79</v>
      </c>
      <c r="C31" s="2" t="s">
        <v>30</v>
      </c>
      <c r="D31" t="s">
        <v>94</v>
      </c>
      <c r="E31" t="s">
        <v>95</v>
      </c>
      <c r="F31" s="2" t="s">
        <v>30</v>
      </c>
      <c r="G31" t="s">
        <v>96</v>
      </c>
      <c r="H31" s="2" t="s">
        <v>30</v>
      </c>
    </row>
    <row r="32" spans="1:8" x14ac:dyDescent="0.45">
      <c r="A32" t="s">
        <v>78</v>
      </c>
      <c r="B32" t="s">
        <v>79</v>
      </c>
      <c r="C32" s="2" t="s">
        <v>30</v>
      </c>
      <c r="D32" t="s">
        <v>97</v>
      </c>
      <c r="E32" t="s">
        <v>98</v>
      </c>
      <c r="F32" s="2" t="s">
        <v>30</v>
      </c>
      <c r="G32" t="s">
        <v>99</v>
      </c>
      <c r="H32" s="2" t="s">
        <v>175</v>
      </c>
    </row>
    <row r="33" spans="1:8" x14ac:dyDescent="0.45">
      <c r="A33" t="s">
        <v>78</v>
      </c>
      <c r="B33" t="s">
        <v>79</v>
      </c>
      <c r="C33" s="2" t="s">
        <v>30</v>
      </c>
      <c r="D33" t="s">
        <v>100</v>
      </c>
      <c r="E33" t="s">
        <v>101</v>
      </c>
      <c r="F33" s="2" t="s">
        <v>30</v>
      </c>
      <c r="G33" t="s">
        <v>102</v>
      </c>
      <c r="H33" s="2" t="s">
        <v>174</v>
      </c>
    </row>
    <row r="34" spans="1:8" x14ac:dyDescent="0.45">
      <c r="A34" t="s">
        <v>78</v>
      </c>
      <c r="B34" t="s">
        <v>79</v>
      </c>
      <c r="C34" s="2" t="s">
        <v>30</v>
      </c>
      <c r="D34" t="s">
        <v>103</v>
      </c>
      <c r="E34" t="s">
        <v>104</v>
      </c>
      <c r="F34" s="2" t="s">
        <v>30</v>
      </c>
      <c r="G34" t="s">
        <v>105</v>
      </c>
      <c r="H34" s="2" t="s">
        <v>30</v>
      </c>
    </row>
    <row r="35" spans="1:8" x14ac:dyDescent="0.45">
      <c r="A35" t="s">
        <v>78</v>
      </c>
      <c r="B35" t="s">
        <v>79</v>
      </c>
      <c r="C35" s="2" t="s">
        <v>30</v>
      </c>
      <c r="D35" t="s">
        <v>106</v>
      </c>
      <c r="E35" t="s">
        <v>107</v>
      </c>
      <c r="F35" s="2" t="s">
        <v>30</v>
      </c>
      <c r="G35" t="s">
        <v>108</v>
      </c>
      <c r="H35" s="2" t="s">
        <v>174</v>
      </c>
    </row>
    <row r="36" spans="1:8" x14ac:dyDescent="0.45">
      <c r="A36" t="s">
        <v>78</v>
      </c>
      <c r="B36" t="s">
        <v>79</v>
      </c>
      <c r="C36" s="2" t="s">
        <v>30</v>
      </c>
      <c r="D36" t="s">
        <v>109</v>
      </c>
      <c r="E36" t="s">
        <v>110</v>
      </c>
      <c r="F36" s="2" t="s">
        <v>30</v>
      </c>
      <c r="G36" t="s">
        <v>111</v>
      </c>
      <c r="H36" s="2" t="s">
        <v>174</v>
      </c>
    </row>
    <row r="37" spans="1:8" x14ac:dyDescent="0.45">
      <c r="A37" t="s">
        <v>78</v>
      </c>
      <c r="B37" t="s">
        <v>79</v>
      </c>
      <c r="C37" s="2" t="s">
        <v>30</v>
      </c>
      <c r="D37" t="s">
        <v>112</v>
      </c>
      <c r="E37" t="s">
        <v>113</v>
      </c>
      <c r="F37" s="2" t="s">
        <v>30</v>
      </c>
      <c r="G37" t="s">
        <v>114</v>
      </c>
      <c r="H37" s="2" t="s">
        <v>174</v>
      </c>
    </row>
    <row r="38" spans="1:8" x14ac:dyDescent="0.45">
      <c r="A38" t="s">
        <v>78</v>
      </c>
      <c r="B38" t="s">
        <v>79</v>
      </c>
      <c r="C38" s="2" t="s">
        <v>30</v>
      </c>
      <c r="D38" t="s">
        <v>115</v>
      </c>
      <c r="E38" t="s">
        <v>116</v>
      </c>
      <c r="F38" s="2" t="s">
        <v>30</v>
      </c>
      <c r="G38" t="s">
        <v>117</v>
      </c>
      <c r="H38" s="2" t="s">
        <v>30</v>
      </c>
    </row>
    <row r="39" spans="1:8" x14ac:dyDescent="0.45">
      <c r="A39" t="s">
        <v>78</v>
      </c>
      <c r="B39" t="s">
        <v>79</v>
      </c>
      <c r="C39" s="2" t="s">
        <v>30</v>
      </c>
      <c r="D39" t="s">
        <v>118</v>
      </c>
      <c r="E39" t="s">
        <v>119</v>
      </c>
      <c r="F39" s="2" t="s">
        <v>30</v>
      </c>
      <c r="G39" t="s">
        <v>120</v>
      </c>
      <c r="H39" s="2" t="s">
        <v>174</v>
      </c>
    </row>
    <row r="40" spans="1:8" x14ac:dyDescent="0.45">
      <c r="A40" t="s">
        <v>78</v>
      </c>
      <c r="B40" t="s">
        <v>79</v>
      </c>
      <c r="C40" s="2" t="s">
        <v>30</v>
      </c>
      <c r="D40" t="s">
        <v>121</v>
      </c>
      <c r="E40" t="s">
        <v>122</v>
      </c>
      <c r="F40" s="2" t="s">
        <v>30</v>
      </c>
      <c r="G40" t="s">
        <v>123</v>
      </c>
      <c r="H40" s="2" t="s">
        <v>174</v>
      </c>
    </row>
    <row r="41" spans="1:8" x14ac:dyDescent="0.45">
      <c r="A41" t="s">
        <v>78</v>
      </c>
      <c r="B41" t="s">
        <v>79</v>
      </c>
      <c r="C41" s="2" t="s">
        <v>30</v>
      </c>
      <c r="D41" t="s">
        <v>124</v>
      </c>
      <c r="E41" t="s">
        <v>125</v>
      </c>
      <c r="F41" s="2" t="s">
        <v>30</v>
      </c>
      <c r="G41" t="s">
        <v>126</v>
      </c>
      <c r="H41" s="2" t="s">
        <v>174</v>
      </c>
    </row>
    <row r="42" spans="1:8" x14ac:dyDescent="0.45">
      <c r="A42" t="s">
        <v>78</v>
      </c>
      <c r="B42" t="s">
        <v>79</v>
      </c>
      <c r="C42" s="2" t="s">
        <v>30</v>
      </c>
      <c r="D42" t="s">
        <v>9</v>
      </c>
      <c r="E42" t="s">
        <v>10</v>
      </c>
      <c r="F42" s="2" t="s">
        <v>161</v>
      </c>
      <c r="G42" t="s">
        <v>127</v>
      </c>
      <c r="H42" s="2" t="s">
        <v>30</v>
      </c>
    </row>
    <row r="43" spans="1:8" x14ac:dyDescent="0.45">
      <c r="A43" t="s">
        <v>78</v>
      </c>
      <c r="B43" t="s">
        <v>79</v>
      </c>
      <c r="C43" s="2" t="s">
        <v>30</v>
      </c>
      <c r="D43" t="s">
        <v>128</v>
      </c>
      <c r="E43" t="s">
        <v>129</v>
      </c>
      <c r="F43" s="2" t="s">
        <v>30</v>
      </c>
      <c r="G43" t="s">
        <v>130</v>
      </c>
      <c r="H43" s="2" t="s">
        <v>174</v>
      </c>
    </row>
    <row r="44" spans="1:8" x14ac:dyDescent="0.45">
      <c r="A44" t="s">
        <v>78</v>
      </c>
      <c r="B44" t="s">
        <v>79</v>
      </c>
      <c r="C44" s="2" t="s">
        <v>30</v>
      </c>
      <c r="D44" t="s">
        <v>131</v>
      </c>
      <c r="E44" t="s">
        <v>132</v>
      </c>
      <c r="F44" s="2" t="s">
        <v>30</v>
      </c>
      <c r="G44" t="s">
        <v>133</v>
      </c>
      <c r="H44" s="2" t="s">
        <v>30</v>
      </c>
    </row>
    <row r="45" spans="1:8" x14ac:dyDescent="0.45">
      <c r="A45" t="s">
        <v>134</v>
      </c>
      <c r="B45" t="s">
        <v>135</v>
      </c>
      <c r="C45" s="2" t="s">
        <v>30</v>
      </c>
      <c r="D45" t="s">
        <v>0</v>
      </c>
      <c r="E45" t="s">
        <v>52</v>
      </c>
      <c r="F45" s="2" t="s">
        <v>30</v>
      </c>
      <c r="G45" t="s">
        <v>136</v>
      </c>
      <c r="H45" s="2" t="s">
        <v>30</v>
      </c>
    </row>
    <row r="46" spans="1:8" x14ac:dyDescent="0.45">
      <c r="A46" t="s">
        <v>134</v>
      </c>
      <c r="B46" t="s">
        <v>135</v>
      </c>
      <c r="C46" s="2" t="s">
        <v>30</v>
      </c>
      <c r="D46" t="s">
        <v>51</v>
      </c>
      <c r="E46" t="s">
        <v>137</v>
      </c>
      <c r="F46" s="2" t="s">
        <v>30</v>
      </c>
      <c r="G46" t="s">
        <v>138</v>
      </c>
      <c r="H46" s="2" t="s">
        <v>30</v>
      </c>
    </row>
    <row r="47" spans="1:8" x14ac:dyDescent="0.45">
      <c r="A47" t="s">
        <v>12</v>
      </c>
      <c r="B47" t="s">
        <v>139</v>
      </c>
      <c r="C47" s="2" t="s">
        <v>30</v>
      </c>
      <c r="D47" t="s">
        <v>140</v>
      </c>
      <c r="E47" t="s">
        <v>141</v>
      </c>
      <c r="F47" s="2" t="s">
        <v>162</v>
      </c>
      <c r="G47" t="s">
        <v>142</v>
      </c>
      <c r="H47" s="2" t="s">
        <v>176</v>
      </c>
    </row>
    <row r="48" spans="1:8" x14ac:dyDescent="0.45">
      <c r="A48" t="s">
        <v>12</v>
      </c>
      <c r="B48" t="s">
        <v>139</v>
      </c>
      <c r="C48" s="2" t="s">
        <v>30</v>
      </c>
      <c r="D48" t="s">
        <v>143</v>
      </c>
      <c r="E48" t="s">
        <v>13</v>
      </c>
      <c r="F48" s="2" t="s">
        <v>30</v>
      </c>
      <c r="G48" t="s">
        <v>144</v>
      </c>
      <c r="H48" s="2" t="s">
        <v>30</v>
      </c>
    </row>
    <row r="49" spans="1:8" x14ac:dyDescent="0.45">
      <c r="A49" t="s">
        <v>48</v>
      </c>
      <c r="B49" t="s">
        <v>145</v>
      </c>
      <c r="C49" s="2" t="s">
        <v>30</v>
      </c>
      <c r="D49" t="s">
        <v>0</v>
      </c>
      <c r="E49" t="s">
        <v>49</v>
      </c>
      <c r="F49" s="2" t="s">
        <v>30</v>
      </c>
      <c r="G49" t="s">
        <v>146</v>
      </c>
      <c r="H49" s="2" t="s">
        <v>30</v>
      </c>
    </row>
    <row r="50" spans="1:8" x14ac:dyDescent="0.45">
      <c r="A50" t="s">
        <v>48</v>
      </c>
      <c r="B50" t="s">
        <v>145</v>
      </c>
      <c r="C50" s="2" t="s">
        <v>30</v>
      </c>
      <c r="D50" t="s">
        <v>48</v>
      </c>
      <c r="E50" t="s">
        <v>147</v>
      </c>
      <c r="F50" s="2" t="s">
        <v>30</v>
      </c>
      <c r="G50" t="s">
        <v>148</v>
      </c>
      <c r="H50" s="2" t="s">
        <v>177</v>
      </c>
    </row>
    <row r="51" spans="1:8" x14ac:dyDescent="0.45">
      <c r="A51" t="s">
        <v>149</v>
      </c>
      <c r="B51" t="s">
        <v>150</v>
      </c>
      <c r="C51" s="2" t="s">
        <v>30</v>
      </c>
      <c r="D51" t="s">
        <v>0</v>
      </c>
      <c r="E51" t="s">
        <v>40</v>
      </c>
      <c r="F51" s="2" t="s">
        <v>30</v>
      </c>
      <c r="G51" t="s">
        <v>151</v>
      </c>
      <c r="H51" s="2" t="s">
        <v>30</v>
      </c>
    </row>
    <row r="52" spans="1:8" x14ac:dyDescent="0.45">
      <c r="A52" t="s">
        <v>149</v>
      </c>
      <c r="B52" t="s">
        <v>150</v>
      </c>
      <c r="C52" s="2" t="s">
        <v>30</v>
      </c>
      <c r="D52" t="s">
        <v>149</v>
      </c>
      <c r="E52" t="s">
        <v>152</v>
      </c>
      <c r="F52" s="2" t="s">
        <v>30</v>
      </c>
      <c r="G52" t="s">
        <v>153</v>
      </c>
      <c r="H52" s="2" t="s">
        <v>178</v>
      </c>
    </row>
    <row r="53" spans="1:8" x14ac:dyDescent="0.45">
      <c r="A53" t="s">
        <v>54</v>
      </c>
      <c r="B53" t="s">
        <v>154</v>
      </c>
      <c r="C53" s="2" t="s">
        <v>30</v>
      </c>
      <c r="D53" t="s">
        <v>0</v>
      </c>
      <c r="E53" t="s">
        <v>55</v>
      </c>
      <c r="F53" s="2" t="s">
        <v>30</v>
      </c>
      <c r="G53" t="s">
        <v>155</v>
      </c>
      <c r="H53" s="2" t="s">
        <v>30</v>
      </c>
    </row>
    <row r="54" spans="1:8" x14ac:dyDescent="0.45">
      <c r="A54" t="s">
        <v>54</v>
      </c>
      <c r="B54" t="s">
        <v>154</v>
      </c>
      <c r="C54" s="2" t="s">
        <v>30</v>
      </c>
      <c r="D54" t="s">
        <v>156</v>
      </c>
      <c r="E54" t="s">
        <v>157</v>
      </c>
      <c r="F54" s="2" t="s">
        <v>30</v>
      </c>
      <c r="G54" t="s">
        <v>158</v>
      </c>
      <c r="H54" s="2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7E0946-B6E3-489E-8EC1-FC47344D2D1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b41ebe-1e4d-4bf1-959c-0235b2ccc0fd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TranslationMapping</vt:lpstr>
      <vt:lpstr>TableMapping</vt:lpstr>
      <vt:lpstr>Expressions</vt:lpstr>
      <vt:lpstr>Queries</vt:lpstr>
      <vt:lpstr>RowSource</vt:lpstr>
      <vt:lpstr>RowSourceCompute</vt:lpstr>
      <vt:lpstr>Gudrun</vt:lpstr>
      <vt:lpstr>communities</vt:lpstr>
      <vt:lpstr>entries</vt:lpstr>
      <vt:lpstr>judgements</vt:lpstr>
      <vt:lpstr>land_use</vt:lpstr>
      <vt:lpstr>legal_sources</vt:lpstr>
      <vt:lpstr>parishes</vt:lpstr>
      <vt:lpstr>persons</vt:lpstr>
      <vt:lpstr>seasons</vt:lpstr>
      <vt:lpstr>sources</vt:lpstr>
      <vt:lpstr>table_mapping</vt:lpstr>
      <vt:lpstr>table_mappings</vt:lpstr>
      <vt:lpstr>winners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Mähler</dc:creator>
  <cp:lastModifiedBy>Roger Mähler</cp:lastModifiedBy>
  <dcterms:created xsi:type="dcterms:W3CDTF">2025-10-30T12:50:41Z</dcterms:created>
  <dcterms:modified xsi:type="dcterms:W3CDTF">2025-11-02T19:13:40Z</dcterms:modified>
</cp:coreProperties>
</file>